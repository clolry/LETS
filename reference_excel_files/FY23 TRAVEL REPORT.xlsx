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TD" sheetId="1" r:id="rId4"/>
    <sheet state="visible" name="FAS" sheetId="2" r:id="rId5"/>
    <sheet state="visible" name="RC" sheetId="3" r:id="rId6"/>
    <sheet state="visible" name="CASE" sheetId="4" r:id="rId7"/>
    <sheet state="visible" name="AAS" sheetId="5" r:id="rId8"/>
    <sheet state="visible" name="PPM" sheetId="6" r:id="rId9"/>
    <sheet state="hidden" name="Pivot Table 10" sheetId="7" r:id="rId10"/>
    <sheet state="hidden" name="RCPivot Table" sheetId="8" r:id="rId11"/>
    <sheet state="hidden" name="CASEPivot Tables" sheetId="9" r:id="rId12"/>
    <sheet state="hidden" name="AAS Pivot Table" sheetId="10" r:id="rId13"/>
    <sheet state="hidden" name="PPMSales Pivot Tables" sheetId="11" r:id="rId14"/>
    <sheet state="hidden" name="PPMU&amp;D Pivot Tables" sheetId="12" r:id="rId15"/>
  </sheets>
  <definedNames/>
  <calcPr/>
  <pivotCaches>
    <pivotCache cacheId="0" r:id="rId16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Y34">
      <text>
        <t xml:space="preserve">D01: Day to Day GSA Business
D02: Mission Related
D03: Internal GSA Meeting
D04: Local Travel
D05: Non-GSA Conference for Training
D06: GSA Conferences for  Mission or Training Purposes
D07: Travel to Plan &amp; Support Conferences
D08: Meeting Travel with External Entities
D40: Foreign Travel</t>
      </text>
    </comment>
    <comment authorId="0" ref="AY16">
      <text>
        <t xml:space="preserve">D01: Day to Day GSA Business
D02: Mission Related
D03: Internal GSA Meeting
D04: Local Travel
D05: Non-GSA Conference for Training
D06: GSA Conferences for  Mission or Training Purposes
D07: Travel to Plan &amp; Support Conferences
D08: Meeting Travel with External Entities
D40: Foreign Travel</t>
      </text>
    </comment>
    <comment authorId="0" ref="AY42">
      <text>
        <t xml:space="preserve">D01: Day to Day GSA Business
D02: Mission Related
D03: Internal GSA Meeting
D04: Local Travel
D05: Non-GSA Conference for Training
D06: GSA Conferences for  Mission or Training Purposes
D07: Travel to Plan &amp; Support Conferences
D08: Meeting Travel with External Entities
D40: Foreign Travel</t>
      </text>
    </comment>
    <comment authorId="0" ref="AY25">
      <text>
        <t xml:space="preserve">D01: Day to Day GSA Business
D02: Mission Related
D03: Internal GSA Meeting
D04: Local Travel
D05: Non-GSA Conference for Training
D06: GSA Conferences for  Mission or Training Purposes
D07: Travel to Plan &amp; Support Conferences
D08: Meeting Travel with External Entities
D40: Foreign Travel</t>
      </text>
    </comment>
    <comment authorId="0" ref="AY7">
      <text>
        <t xml:space="preserve">D01: Day to Day GSA Business
D02: Mission Related
D03: Internal GSA Meeting
D04: Local Travel
D05: Non-GSA Conference for Training
D06: GSA Conferences for  Mission or Training Purposes
D07: Travel to Plan &amp; Support Conferences
D08: Meeting Travel with External Entities
D40: Foreign Travel</t>
      </text>
    </comment>
    <comment authorId="0" ref="F25">
      <text>
        <t xml:space="preserve">No information received for this year.</t>
      </text>
    </comment>
  </commentList>
</comments>
</file>

<file path=xl/sharedStrings.xml><?xml version="1.0" encoding="utf-8"?>
<sst xmlns="http://schemas.openxmlformats.org/spreadsheetml/2006/main" count="3363" uniqueCount="415">
  <si>
    <t xml:space="preserve"> </t>
  </si>
  <si>
    <t>FY23 RC Travel</t>
  </si>
  <si>
    <t>1ST QUARTER</t>
  </si>
  <si>
    <t>2ND QTR</t>
  </si>
  <si>
    <t>3RD QTR</t>
  </si>
  <si>
    <t>4TH QTR</t>
  </si>
  <si>
    <t>FY 23 TOTAL</t>
  </si>
  <si>
    <t>ESTIMATE</t>
  </si>
  <si>
    <t>ACTUALS</t>
  </si>
  <si>
    <t>PLANNED</t>
  </si>
  <si>
    <t>BALANCE</t>
  </si>
  <si>
    <t>9Q - 285X-09-RC20-Q0900000</t>
  </si>
  <si>
    <t>Event Title</t>
  </si>
  <si>
    <t>Travel Dates</t>
  </si>
  <si>
    <t>Location</t>
  </si>
  <si>
    <t>Targeted 
Audience</t>
  </si>
  <si>
    <t>Trip 
Type</t>
  </si>
  <si>
    <t>Casey Kelley</t>
  </si>
  <si>
    <t>Internal Management Meeting</t>
  </si>
  <si>
    <t xml:space="preserve">San Francisco, CA </t>
  </si>
  <si>
    <t xml:space="preserve">Internal Mtng </t>
  </si>
  <si>
    <t>D03</t>
  </si>
  <si>
    <t>1ST QTR</t>
  </si>
  <si>
    <t>Jacqueline Sullo</t>
  </si>
  <si>
    <t xml:space="preserve">AAS Directors Meeting </t>
  </si>
  <si>
    <t>Denver, CO</t>
  </si>
  <si>
    <t>Leadership</t>
  </si>
  <si>
    <t>D02</t>
  </si>
  <si>
    <t>William Villarroel</t>
  </si>
  <si>
    <t>FAS R9 Leadership Offsite Meeting</t>
  </si>
  <si>
    <t xml:space="preserve">San Diego, CA </t>
  </si>
  <si>
    <t>FAS Leadership Council Meet</t>
  </si>
  <si>
    <t xml:space="preserve">Washington, DC </t>
  </si>
  <si>
    <t>FAS R9 COS Interviews</t>
  </si>
  <si>
    <t>D01</t>
  </si>
  <si>
    <t>AAS Core Realignment Meeting</t>
  </si>
  <si>
    <t xml:space="preserve">Atlanta, GA </t>
  </si>
  <si>
    <t>Leadership Council Meet</t>
  </si>
  <si>
    <t>Philadelphia, PA</t>
  </si>
  <si>
    <t>FY23 CASE Travel</t>
  </si>
  <si>
    <t>QTRLY F4 Meeting</t>
  </si>
  <si>
    <t>CASE Leadership/Staff Meet</t>
  </si>
  <si>
    <t>Christina Bowman</t>
  </si>
  <si>
    <t>FY23 TOTAL</t>
  </si>
  <si>
    <t>AAS &amp; Front Line Leader Meet</t>
  </si>
  <si>
    <t>9QCA &amp; 9QCA1</t>
  </si>
  <si>
    <t xml:space="preserve">Asia Trip </t>
  </si>
  <si>
    <t>Japan &amp; Korea</t>
  </si>
  <si>
    <t>Foreign</t>
  </si>
  <si>
    <t>D40</t>
  </si>
  <si>
    <t xml:space="preserve">Phoenix, AZ </t>
  </si>
  <si>
    <t>Stacey Franklin</t>
  </si>
  <si>
    <t>CASE Leadership Meet</t>
  </si>
  <si>
    <t>Boston, MA</t>
  </si>
  <si>
    <t>9QCA</t>
  </si>
  <si>
    <t>CANCELLED: (See below) Leadership Council Meet</t>
  </si>
  <si>
    <t>-</t>
  </si>
  <si>
    <t>Michele Tobin</t>
  </si>
  <si>
    <t>SWRMC at Naval Base Mileage</t>
  </si>
  <si>
    <t>Customer</t>
  </si>
  <si>
    <t>D04</t>
  </si>
  <si>
    <t>Kansas City, MO</t>
  </si>
  <si>
    <t>2023 Government Contract Pricing Summit Mileage &amp; Parking</t>
  </si>
  <si>
    <t>BD Offsite Meeting</t>
  </si>
  <si>
    <t>Staff</t>
  </si>
  <si>
    <t>FY23 ALL FAS Travel</t>
  </si>
  <si>
    <t>Kerry Durkan</t>
  </si>
  <si>
    <t>BD Team Meet</t>
  </si>
  <si>
    <t xml:space="preserve">PPM Divisional Team Bldg Offsite </t>
  </si>
  <si>
    <t>Portland, OR</t>
  </si>
  <si>
    <t>Katina Watson</t>
  </si>
  <si>
    <t>FAS FY23 TOTAL</t>
  </si>
  <si>
    <t>Senior Leadership Meeting</t>
  </si>
  <si>
    <t>Tacoma, WA</t>
  </si>
  <si>
    <t>Traveler</t>
  </si>
  <si>
    <t>AAS, PBS, and CASE NAMs Meeting Mileage &amp; Parking</t>
  </si>
  <si>
    <t>CASE Leadership Offsite</t>
  </si>
  <si>
    <t>Asia Pacific Senior Visit Prep</t>
  </si>
  <si>
    <t>Tokyo, JPN/ Seoul, KOR</t>
  </si>
  <si>
    <t>Leadership Offboarding and Transition</t>
  </si>
  <si>
    <t>Qtrly Leadership Visit</t>
  </si>
  <si>
    <t>APEX 2 Offsite Events</t>
  </si>
  <si>
    <t xml:space="preserve">Fort Worth TX and Warner Robins GA </t>
  </si>
  <si>
    <t>R9 CASE Leadership Meet</t>
  </si>
  <si>
    <t>Conference</t>
  </si>
  <si>
    <t xml:space="preserve">San Jose, CA </t>
  </si>
  <si>
    <t>D07</t>
  </si>
  <si>
    <t>CASE Leadership Meeting</t>
  </si>
  <si>
    <t>Honolulu, HI</t>
  </si>
  <si>
    <t>Leadership Meeting SF Mileage &amp; Parking</t>
  </si>
  <si>
    <t>Diana Fiesco-Bugarini</t>
  </si>
  <si>
    <t xml:space="preserve">Forth Worth, TX </t>
  </si>
  <si>
    <t xml:space="preserve">Leadership </t>
  </si>
  <si>
    <t>Joel Fada</t>
  </si>
  <si>
    <t>AAS Directors Meeting</t>
  </si>
  <si>
    <t>FAS AAS Leadership &amp; NAVWAR Meetings</t>
  </si>
  <si>
    <t>CASE Off Site Business Meet</t>
  </si>
  <si>
    <t>Annapolis, MD</t>
  </si>
  <si>
    <t>50 UNP Office Cleanout Final Walkthrough</t>
  </si>
  <si>
    <t>Daniel Thiel</t>
  </si>
  <si>
    <t>BCS Technical Eval</t>
  </si>
  <si>
    <t xml:space="preserve">Bonita, CA </t>
  </si>
  <si>
    <t>R9 Leadership Offsite Meeting</t>
  </si>
  <si>
    <t>Mark Reiss</t>
  </si>
  <si>
    <t>Local Travel Toll/Customer Visits</t>
  </si>
  <si>
    <t>Various</t>
  </si>
  <si>
    <t>CASE Meeting</t>
  </si>
  <si>
    <t>MISCELLANEOUS</t>
  </si>
  <si>
    <t>Event Title/Desc</t>
  </si>
  <si>
    <t>Servc/Payment Date</t>
  </si>
  <si>
    <t>Diana Lynch-Maldonado</t>
  </si>
  <si>
    <t>Sub Obj Code</t>
  </si>
  <si>
    <t>FAS R9 Leadership Meet</t>
  </si>
  <si>
    <t xml:space="preserve">Casey Kelley </t>
  </si>
  <si>
    <t>Professional Liablity Insurance 2023</t>
  </si>
  <si>
    <t>N/A</t>
  </si>
  <si>
    <t>B04</t>
  </si>
  <si>
    <t xml:space="preserve">MISC </t>
  </si>
  <si>
    <t>Christopher Slavens</t>
  </si>
  <si>
    <t>BD Development OffSite Meet</t>
  </si>
  <si>
    <t xml:space="preserve">Oakland, CA </t>
  </si>
  <si>
    <t>Drew Della Valle</t>
  </si>
  <si>
    <t>BIG Conference</t>
  </si>
  <si>
    <t>Prince George's County MD</t>
  </si>
  <si>
    <t>D05</t>
  </si>
  <si>
    <t>Sandra Klar</t>
  </si>
  <si>
    <t>FAS Commissioner/Leadership Meeting</t>
  </si>
  <si>
    <t>Washington, DC</t>
  </si>
  <si>
    <t>Sindi Cheng-Nishimura</t>
  </si>
  <si>
    <t>Charles Lee</t>
  </si>
  <si>
    <t>FAS R9 Leadership Meeting</t>
  </si>
  <si>
    <t>Offsite Leadership Meeting</t>
  </si>
  <si>
    <t>Elizabeth Belenis</t>
  </si>
  <si>
    <t xml:space="preserve"> Leadership</t>
  </si>
  <si>
    <t>BD Team Meeting/San Francisco Office Cleanout</t>
  </si>
  <si>
    <t xml:space="preserve">Oakland/San Francisco, CA </t>
  </si>
  <si>
    <t>POV Mileage, Parking, Mileage &amp; Uber</t>
  </si>
  <si>
    <t xml:space="preserve">Los Angeles, CA </t>
  </si>
  <si>
    <t>Nathan Dolezal</t>
  </si>
  <si>
    <t xml:space="preserve">9QCAA </t>
  </si>
  <si>
    <t>Ryan Hagan</t>
  </si>
  <si>
    <t>Natural Disaster Conference</t>
  </si>
  <si>
    <t xml:space="preserve">Anaheim, CA </t>
  </si>
  <si>
    <t xml:space="preserve">Downtown SD TEB </t>
  </si>
  <si>
    <t>Sidney Frazier</t>
  </si>
  <si>
    <t>Customer Visit</t>
  </si>
  <si>
    <t>Clint Steele</t>
  </si>
  <si>
    <t>Iwakuni, JPN</t>
  </si>
  <si>
    <t>Natural Disaster Conference _Parking</t>
  </si>
  <si>
    <t>9QCAA</t>
  </si>
  <si>
    <t>Andrew Nguyen</t>
  </si>
  <si>
    <t>GOV Parking _ SID conference</t>
  </si>
  <si>
    <t>Brandy Untalan</t>
  </si>
  <si>
    <t>Saipan, MP</t>
  </si>
  <si>
    <t>Michelle Stansberry</t>
  </si>
  <si>
    <t>Las Vegas, NV</t>
  </si>
  <si>
    <t>Maria Rodriguez</t>
  </si>
  <si>
    <t>Customer Visits &amp; Training Herlong NV</t>
  </si>
  <si>
    <t>Reno, NV</t>
  </si>
  <si>
    <t>Cynthia McKeague</t>
  </si>
  <si>
    <t xml:space="preserve">Customer Visits </t>
  </si>
  <si>
    <t>IWAkuni, JPN</t>
  </si>
  <si>
    <t>Florence Francis</t>
  </si>
  <si>
    <t xml:space="preserve">CANCELED: 
Customer Visits </t>
  </si>
  <si>
    <t xml:space="preserve">Barstow, CA </t>
  </si>
  <si>
    <t>Sid Frazier</t>
  </si>
  <si>
    <t>FY23 AAS Travel</t>
  </si>
  <si>
    <t>2/5/23</t>
  </si>
  <si>
    <t xml:space="preserve">Asia Pacific Senior Visit Prep </t>
  </si>
  <si>
    <t>Tokyo, JPN/Seoul, KOR</t>
  </si>
  <si>
    <t>FY22 TOTAL</t>
  </si>
  <si>
    <t>FY23 Shadowing Prog</t>
  </si>
  <si>
    <t>9QFA</t>
  </si>
  <si>
    <t>Ronald Eisley</t>
  </si>
  <si>
    <t>Seoul, KOR</t>
  </si>
  <si>
    <t>NAM Meeting with Leadership</t>
  </si>
  <si>
    <t>DC, WA</t>
  </si>
  <si>
    <t>RES 2023 Conference</t>
  </si>
  <si>
    <t>Las Vegas NV</t>
  </si>
  <si>
    <t>Leadership Meeting Mileage &amp; Parking</t>
  </si>
  <si>
    <t>Phoenix, AZ</t>
  </si>
  <si>
    <t>Asia Trip - Japan &amp; Korea</t>
  </si>
  <si>
    <t>JPN &amp; KOR</t>
  </si>
  <si>
    <t>Connie Mudd</t>
  </si>
  <si>
    <t>Asia Trip - Korea</t>
  </si>
  <si>
    <t>Stephon Jackson</t>
  </si>
  <si>
    <t xml:space="preserve">FCN 416 Conference (Presenter) </t>
  </si>
  <si>
    <t>Customers</t>
  </si>
  <si>
    <t>Government Pricing Summit Conference</t>
  </si>
  <si>
    <t>Cynthis McKeague</t>
  </si>
  <si>
    <t>F4 AAS Travel</t>
  </si>
  <si>
    <t>Joseph Adams</t>
  </si>
  <si>
    <t>Tokyo, JPN</t>
  </si>
  <si>
    <t>DOI Territorial Climate &amp; Infra Workshop</t>
  </si>
  <si>
    <t>Pearl Harbor, HI</t>
  </si>
  <si>
    <t>Training</t>
  </si>
  <si>
    <t>Alliant 2 PMR/AFCEA 2023</t>
  </si>
  <si>
    <t>CANCELLED: F4 AAS Travel</t>
  </si>
  <si>
    <t>Customer Visits - GSA eTool Training</t>
  </si>
  <si>
    <t>Sasebo JPN</t>
  </si>
  <si>
    <t>Sharon Gorospe</t>
  </si>
  <si>
    <t>FCN416 Conference (Presenter)</t>
  </si>
  <si>
    <t>AAO/AAS Leadership Meet</t>
  </si>
  <si>
    <t>CANCELLED: Customer Visit</t>
  </si>
  <si>
    <t>AFCEA WEST 2023</t>
  </si>
  <si>
    <t>Customer Visits</t>
  </si>
  <si>
    <t>Misawa AB, JPN</t>
  </si>
  <si>
    <t>Fort Worth, TX</t>
  </si>
  <si>
    <t>Leadership Meeting</t>
  </si>
  <si>
    <t xml:space="preserve">Ridgecrest, CA </t>
  </si>
  <si>
    <t>SCM Rep Customer Visit</t>
  </si>
  <si>
    <t>Steven Collins</t>
  </si>
  <si>
    <t>Various, JAPAN</t>
  </si>
  <si>
    <t>VA &amp; Executive Level Visits</t>
  </si>
  <si>
    <t xml:space="preserve">Santa Clara, CA </t>
  </si>
  <si>
    <t>Asia Pacific Leadership Meeting</t>
  </si>
  <si>
    <t>CANCELLED: FAS Commissoner/Leadership Meeting</t>
  </si>
  <si>
    <t>Phoenix AAS Leadership Meeting</t>
  </si>
  <si>
    <t xml:space="preserve">9QCAB </t>
  </si>
  <si>
    <t>9QCAB</t>
  </si>
  <si>
    <t>Clevester Hines</t>
  </si>
  <si>
    <t>AAS TDL Summit Training</t>
  </si>
  <si>
    <t>Jacksonville, FL</t>
  </si>
  <si>
    <t>9QFAC</t>
  </si>
  <si>
    <t>SASP Review</t>
  </si>
  <si>
    <t>Joy Wahlmann</t>
  </si>
  <si>
    <t>Sing Cheng</t>
  </si>
  <si>
    <t>HAI Heli Expo 2023</t>
  </si>
  <si>
    <t>Air Force Strike Board Meeting</t>
  </si>
  <si>
    <t>Tucson, AZ</t>
  </si>
  <si>
    <t>Shontae Williams</t>
  </si>
  <si>
    <t xml:space="preserve">Tech Evaluation Board </t>
  </si>
  <si>
    <t>Helen Thach</t>
  </si>
  <si>
    <t>Air Force Strike Board</t>
  </si>
  <si>
    <t xml:space="preserve">Tucson, AZ </t>
  </si>
  <si>
    <t>Alberto Gomez</t>
  </si>
  <si>
    <t>R9 Case Leadership Meet</t>
  </si>
  <si>
    <t>Christian Patterson</t>
  </si>
  <si>
    <t>Analytics IDIQ Eval Mileage &amp; Parking</t>
  </si>
  <si>
    <t>WACE 2023 Conference</t>
  </si>
  <si>
    <t>Boulder City COR Level 2 Classes Mileage</t>
  </si>
  <si>
    <t>Boulder City, NV</t>
  </si>
  <si>
    <t>AFCEA West 2023 Conve</t>
  </si>
  <si>
    <t>Regional AAO/AAS Leadership Meeting</t>
  </si>
  <si>
    <t xml:space="preserve">Alliant 2 PMR </t>
  </si>
  <si>
    <t>Warriors West 2023/Customer Visits</t>
  </si>
  <si>
    <t>DHRA Client Visit</t>
  </si>
  <si>
    <t xml:space="preserve">Monterey, CA </t>
  </si>
  <si>
    <t>Nader Mobasseri</t>
  </si>
  <si>
    <t>SSC Leadership Meeting</t>
  </si>
  <si>
    <t>Nevada State Agency Review of Operations</t>
  </si>
  <si>
    <t>CANCELLED</t>
  </si>
  <si>
    <t>Waleed Wahbe</t>
  </si>
  <si>
    <t>NV Apex Accelerator SB Event</t>
  </si>
  <si>
    <t>Brigid Cummins</t>
  </si>
  <si>
    <t>Nonya Montano</t>
  </si>
  <si>
    <t>SSC IA Review Meet</t>
  </si>
  <si>
    <t>R4 Leadership Summit</t>
  </si>
  <si>
    <t>Orlando, FL</t>
  </si>
  <si>
    <t xml:space="preserve">Rancho Mirage, CA </t>
  </si>
  <si>
    <t>Navy Gold Coast Customer Meetings</t>
  </si>
  <si>
    <t xml:space="preserve">9QFAD </t>
  </si>
  <si>
    <t xml:space="preserve">Lompoc, CA </t>
  </si>
  <si>
    <t>Karina Pohlmann</t>
  </si>
  <si>
    <t>9QFAE</t>
  </si>
  <si>
    <t>Pamela Ervin</t>
  </si>
  <si>
    <t xml:space="preserve">Pleasanton, CA </t>
  </si>
  <si>
    <t>Zach Dean</t>
  </si>
  <si>
    <t>Heli-Expo</t>
  </si>
  <si>
    <t>NV Surplus Property Review of Operations</t>
  </si>
  <si>
    <t>Anaheim Disaster Show</t>
  </si>
  <si>
    <t>9QCAE</t>
  </si>
  <si>
    <t>Fort Irwin &amp; MCLB Customer Visits</t>
  </si>
  <si>
    <t>Client Kickoff Meet</t>
  </si>
  <si>
    <t>Colorado Springs, CO</t>
  </si>
  <si>
    <t xml:space="preserve">CANCELED: Customer Visits </t>
  </si>
  <si>
    <t>Michael Tabor</t>
  </si>
  <si>
    <t>CANCELLED: R9 CASE Leadership Meet</t>
  </si>
  <si>
    <t>NCMA World Congress 2023</t>
  </si>
  <si>
    <t>Nashville, TN</t>
  </si>
  <si>
    <t xml:space="preserve">Regional AAO/AAS Leadership Meeting </t>
  </si>
  <si>
    <t>CAPPO Conference</t>
  </si>
  <si>
    <t>Meeting</t>
  </si>
  <si>
    <t>Post Award Kickoff Meeting</t>
  </si>
  <si>
    <t xml:space="preserve">El Segundo, CA </t>
  </si>
  <si>
    <t>Front Line Leaders Conference</t>
  </si>
  <si>
    <t xml:space="preserve">Philadelphia, PA </t>
  </si>
  <si>
    <t>D06</t>
  </si>
  <si>
    <t>Trevor Hood</t>
  </si>
  <si>
    <t>CANCELLED: 
CASE Off Site Business Meet</t>
  </si>
  <si>
    <t xml:space="preserve">Annapolis, MD </t>
  </si>
  <si>
    <t>Research Symposium</t>
  </si>
  <si>
    <t xml:space="preserve">Seaside, CA </t>
  </si>
  <si>
    <t>Economic Summit 2023</t>
  </si>
  <si>
    <t xml:space="preserve">Flagstaff, AZ </t>
  </si>
  <si>
    <t>CSD territory Customer Visit</t>
  </si>
  <si>
    <t>Customer Visits DHRA/OPA and NPS</t>
  </si>
  <si>
    <t>ECS Review Training</t>
  </si>
  <si>
    <t>Government Contract Pricing Summit</t>
  </si>
  <si>
    <t>R9 CASE Leadership Meeting</t>
  </si>
  <si>
    <t>Shannon Veen</t>
  </si>
  <si>
    <t>GOV Fastrak Deposit</t>
  </si>
  <si>
    <t>Zainab Noah</t>
  </si>
  <si>
    <t>SSC/FM CCA Tech Eval Team Kickoff</t>
  </si>
  <si>
    <t>Alexander Chan</t>
  </si>
  <si>
    <t>Tina Kennedy</t>
  </si>
  <si>
    <t>LAAFB TEBs  Mileage</t>
  </si>
  <si>
    <t>Aug 22 Cell Phone Srv</t>
  </si>
  <si>
    <t>F4G</t>
  </si>
  <si>
    <t xml:space="preserve">Sept 22 Cell Phone Srv </t>
  </si>
  <si>
    <t>Internal Leadership APEX Meet</t>
  </si>
  <si>
    <t>Alaska Review of Operations</t>
  </si>
  <si>
    <t>Anchorage, AK</t>
  </si>
  <si>
    <t xml:space="preserve">Oct 22 Cell Phone Srv </t>
  </si>
  <si>
    <t>Michael Banks</t>
  </si>
  <si>
    <t>Randal Patterson</t>
  </si>
  <si>
    <t>Professional Liability Insurance 2024</t>
  </si>
  <si>
    <t xml:space="preserve">MISCELLANEOUS </t>
  </si>
  <si>
    <t>USB Drive</t>
  </si>
  <si>
    <t>L01</t>
  </si>
  <si>
    <t>MISC</t>
  </si>
  <si>
    <t>Nov 22 Cell Phone Srv</t>
  </si>
  <si>
    <t>Dec 22 Cell Phone Srv</t>
  </si>
  <si>
    <t>Jan 23 Cell Phone Srv</t>
  </si>
  <si>
    <t xml:space="preserve">Feb 23 Cell Phone Srv </t>
  </si>
  <si>
    <t>Mar 23 Cell Phone Srv</t>
  </si>
  <si>
    <t>Small Business Event</t>
  </si>
  <si>
    <t>R9 FAS FY23 TRAVEL</t>
  </si>
  <si>
    <t>Apr 23 Cell Phone Srv</t>
  </si>
  <si>
    <t>FY22 TRAVEL</t>
  </si>
  <si>
    <t>FY23</t>
  </si>
  <si>
    <t>FY22 vs. FY23</t>
  </si>
  <si>
    <t>FY23 TRAVEL TYPE</t>
  </si>
  <si>
    <t>UNSPENT</t>
  </si>
  <si>
    <t>YTD ACTUALS</t>
  </si>
  <si>
    <t>OFFICE OF THE REGIONAL COMMISSIONER (RC)</t>
  </si>
  <si>
    <t>ICAP</t>
  </si>
  <si>
    <t xml:space="preserve">Alexandria, VA </t>
  </si>
  <si>
    <t>May 23 Cell Phone Srv</t>
  </si>
  <si>
    <t>9Q</t>
  </si>
  <si>
    <t>Jun 23 Cell Phone Srv</t>
  </si>
  <si>
    <t>FY23 PPM Travel</t>
  </si>
  <si>
    <t>Jul 23 Cell Phone Srv</t>
  </si>
  <si>
    <t>GSA Badge Pickup</t>
  </si>
  <si>
    <t>9Q1</t>
  </si>
  <si>
    <t>FY 22 TOTAL</t>
  </si>
  <si>
    <t>Inteagency Committee for Aviation Policy</t>
  </si>
  <si>
    <t>Alexandria, VA</t>
  </si>
  <si>
    <t>WEX Card</t>
  </si>
  <si>
    <t>Q09SC000 (Sales) 9QSCB</t>
  </si>
  <si>
    <t>9Q1B</t>
  </si>
  <si>
    <t>Q09SC000</t>
  </si>
  <si>
    <t>Shirley Tarkington</t>
  </si>
  <si>
    <t>Sales</t>
  </si>
  <si>
    <t>CUSTOMER &amp; STAKEHOLDER ENGAGEMENT (CASE)</t>
  </si>
  <si>
    <t>9QCA - 285X-09-SE20-Q09CA000</t>
  </si>
  <si>
    <t>9QCA1</t>
  </si>
  <si>
    <t xml:space="preserve">9QCAA  </t>
  </si>
  <si>
    <t>Morgan Tharpe</t>
  </si>
  <si>
    <t>PRZ PPM Offsite</t>
  </si>
  <si>
    <t>Jonathan Chan</t>
  </si>
  <si>
    <t>Aaron Hinde</t>
  </si>
  <si>
    <t>CANCELLED: PRZ PPM Offsite</t>
  </si>
  <si>
    <t>Lawrence Ong</t>
  </si>
  <si>
    <t>Debbie Leung</t>
  </si>
  <si>
    <t>ASSISTED ACQUISITION SERVICES (AAS)</t>
  </si>
  <si>
    <t>9QFA -285X-09-AA20-A09FA00</t>
  </si>
  <si>
    <t>Trip Type</t>
  </si>
  <si>
    <t>TOTAL</t>
  </si>
  <si>
    <t>1st QTR</t>
  </si>
  <si>
    <t>Yik Wu</t>
  </si>
  <si>
    <t>2nd QTR</t>
  </si>
  <si>
    <t>CANCELLED: PPM Sales Refresher Training</t>
  </si>
  <si>
    <t xml:space="preserve">Fort Worth, TX </t>
  </si>
  <si>
    <t>9QFAD</t>
  </si>
  <si>
    <t>3rd QTR</t>
  </si>
  <si>
    <t>Bonita Powell</t>
  </si>
  <si>
    <t>4th QTR</t>
  </si>
  <si>
    <t>PERSONAL PROPERTY MANAGEMENT (PPM)</t>
  </si>
  <si>
    <t>NASA Palmdale Agency Visit</t>
  </si>
  <si>
    <t xml:space="preserve">Palmdale, CA </t>
  </si>
  <si>
    <t>(Sales)</t>
  </si>
  <si>
    <t>NASA Mtg at 50 UNP</t>
  </si>
  <si>
    <t>Q09SC000-285X-09-GS30-AF200</t>
  </si>
  <si>
    <t>9QSCB</t>
  </si>
  <si>
    <t>K09Y1841 (U&amp;D) 9QSCA</t>
  </si>
  <si>
    <t>K09Y1841</t>
  </si>
  <si>
    <t>U&amp;D</t>
  </si>
  <si>
    <t>(U&amp;D)</t>
  </si>
  <si>
    <t xml:space="preserve">K09Y1841-142A-09-GA23-GAF80 </t>
  </si>
  <si>
    <t>2023 NASASP Conference</t>
  </si>
  <si>
    <t>Boise, ID</t>
  </si>
  <si>
    <t>9QSCA</t>
  </si>
  <si>
    <t>MISCELLANEOUS (not travel)</t>
  </si>
  <si>
    <t>FY22
TOTAL COUNT</t>
  </si>
  <si>
    <t>FY22
TOTAL ACTUALS</t>
  </si>
  <si>
    <t>FY22 MISC VCH 
CONCUR FEES</t>
  </si>
  <si>
    <t>FY23
TOTAL COUNT</t>
  </si>
  <si>
    <t>FY23
TOTAL ACTUALS</t>
  </si>
  <si>
    <t>FY23 
CONCUR FEES</t>
  </si>
  <si>
    <t>1st qtr</t>
  </si>
  <si>
    <t>2nd qtr</t>
  </si>
  <si>
    <t>3rd qtr</t>
  </si>
  <si>
    <t>4th qtr</t>
  </si>
  <si>
    <t>Mission/Oper</t>
  </si>
  <si>
    <t>Internal GSA Meeting</t>
  </si>
  <si>
    <t>Grand Total</t>
  </si>
  <si>
    <t>Francine McCollister</t>
  </si>
  <si>
    <t>Kevin Franken</t>
  </si>
  <si>
    <t>National Harbor, MD</t>
  </si>
  <si>
    <t>State Agency Review of Operations</t>
  </si>
  <si>
    <t xml:space="preserve">Columbia, SC </t>
  </si>
  <si>
    <t>Palmdale, CA</t>
  </si>
  <si>
    <t>State Surplus Review of Operations</t>
  </si>
  <si>
    <t>Santa Fe, NM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</si>
</sst>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m&quot;/&quot;d&quot;/&quot;yy"/>
    <numFmt numFmtId="166" formatCode="m/d"/>
    <numFmt numFmtId="167" formatCode="m/d/yy"/>
    <numFmt numFmtId="168" formatCode="m/d/yyyy"/>
    <numFmt numFmtId="169" formatCode="&quot;$&quot;#,##0"/>
  </numFmts>
  <fonts count="46">
    <font>
      <sz val="12.0"/>
      <color rgb="FF000000"/>
      <name val="Calibri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>
      <b/>
      <sz val="12.0"/>
      <color rgb="FF0B5394"/>
      <name val="Roboto"/>
    </font>
    <font/>
    <font>
      <sz val="12.0"/>
      <color rgb="FF0B5394"/>
      <name val="Roboto"/>
    </font>
    <font>
      <sz val="12.0"/>
      <color rgb="FF000000"/>
      <name val="Poppins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color rgb="FFFFFFFF"/>
      <name val="Roboto"/>
    </font>
    <font>
      <sz val="9.0"/>
      <name val="Roboto"/>
    </font>
    <font>
      <sz val="10.0"/>
      <color rgb="FFFFFFFF"/>
      <name val="Roboto"/>
    </font>
    <font>
      <b/>
      <sz val="10.0"/>
      <color rgb="FFFFFFFF"/>
      <name val="Roboto"/>
    </font>
    <font>
      <sz val="10.0"/>
      <color rgb="FF434343"/>
      <name val="Roboto"/>
    </font>
    <font>
      <sz val="10.0"/>
      <color rgb="FF000000"/>
      <name val="Roboto"/>
    </font>
    <font>
      <b/>
      <sz val="10.0"/>
      <color rgb="FF000000"/>
      <name val="Roboto"/>
    </font>
    <font>
      <b/>
      <sz val="30.0"/>
      <color rgb="FF45818E"/>
      <name val="Roboto"/>
    </font>
    <font>
      <b/>
      <sz val="10.0"/>
      <color rgb="FFB7B7B7"/>
      <name val="Roboto"/>
    </font>
    <font>
      <b/>
      <sz val="30.0"/>
      <color rgb="FF000000"/>
      <name val="Roboto"/>
    </font>
    <font>
      <sz val="9.0"/>
      <color rgb="FF000000"/>
      <name val="Roboto"/>
    </font>
    <font>
      <b/>
      <sz val="9.0"/>
      <color rgb="FF000000"/>
      <name val="Roboto"/>
    </font>
    <font>
      <sz val="8.0"/>
      <color rgb="FFFFFFFF"/>
      <name val="Roboto"/>
    </font>
    <font>
      <sz val="10.0"/>
      <name val="Roboto"/>
    </font>
    <font>
      <b/>
      <sz val="30.0"/>
      <color rgb="FFB85B22"/>
      <name val="Roboto"/>
    </font>
    <font>
      <b/>
      <sz val="10.0"/>
      <color rgb="FF434343"/>
      <name val="Roboto"/>
    </font>
    <font>
      <b/>
      <sz val="32.0"/>
      <color rgb="FF0B5394"/>
      <name val="Roboto"/>
    </font>
    <font>
      <sz val="11.0"/>
      <color rgb="FF999999"/>
      <name val="Roboto"/>
    </font>
    <font>
      <b/>
      <sz val="8.0"/>
      <color rgb="FF999999"/>
      <name val="Roboto"/>
    </font>
    <font>
      <sz val="8.0"/>
      <color rgb="FF434343"/>
      <name val="Roboto"/>
    </font>
    <font>
      <b/>
      <sz val="10.0"/>
      <color rgb="FFFF0000"/>
      <name val="Roboto"/>
    </font>
    <font>
      <b/>
      <sz val="30.0"/>
      <color rgb="FF134F5C"/>
      <name val="Roboto"/>
    </font>
    <font>
      <sz val="8.0"/>
      <color rgb="FF666666"/>
      <name val="Roboto"/>
    </font>
    <font>
      <sz val="10.0"/>
      <color rgb="FF666666"/>
      <name val="Roboto"/>
    </font>
    <font>
      <sz val="9.0"/>
      <color rgb="FF434343"/>
      <name val="Roboto"/>
    </font>
    <font>
      <sz val="9.0"/>
      <name val="Calibri"/>
    </font>
    <font>
      <sz val="9.0"/>
      <color rgb="FF000000"/>
      <name val="Calibri"/>
    </font>
    <font>
      <sz val="11.0"/>
      <color rgb="FF0000FF"/>
      <name val="Roboto"/>
    </font>
    <font>
      <sz val="11.0"/>
      <color rgb="FFF3F3F3"/>
      <name val="Roboto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0B5394"/>
        <bgColor rgb="FF0B5394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45818E"/>
        <bgColor rgb="FF45818E"/>
      </patternFill>
    </fill>
    <fill>
      <patternFill patternType="solid">
        <fgColor rgb="FFA2C4C9"/>
        <bgColor rgb="FFA2C4C9"/>
      </patternFill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rgb="FFF9CB9C"/>
        <bgColor rgb="FFF9CB9C"/>
      </patternFill>
    </fill>
    <fill>
      <patternFill patternType="solid">
        <fgColor rgb="FF59473F"/>
        <bgColor rgb="FF59473F"/>
      </patternFill>
    </fill>
    <fill>
      <patternFill patternType="solid">
        <fgColor rgb="FFD0E0E3"/>
        <bgColor rgb="FFD0E0E3"/>
      </patternFill>
    </fill>
    <fill>
      <patternFill patternType="solid">
        <fgColor rgb="FFB85B22"/>
        <bgColor rgb="FFB85B22"/>
      </patternFill>
    </fill>
    <fill>
      <patternFill patternType="solid">
        <fgColor rgb="FF134F5C"/>
        <bgColor rgb="FF134F5C"/>
      </patternFill>
    </fill>
  </fills>
  <borders count="35">
    <border/>
    <border>
      <bottom style="thick">
        <color rgb="FF0B5394"/>
      </bottom>
    </border>
    <border>
      <left style="thin">
        <color rgb="FF999999"/>
      </left>
    </border>
    <border>
      <right style="thin">
        <color rgb="FF999999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999999"/>
      </left>
      <bottom style="thin">
        <color rgb="FFB7B7B7"/>
      </bottom>
    </border>
    <border>
      <bottom style="thin">
        <color rgb="FFB7B7B7"/>
      </bottom>
    </border>
    <border>
      <left style="thick">
        <color rgb="FF000000"/>
      </left>
      <bottom style="thin">
        <color rgb="FFB7B7B7"/>
      </bottom>
    </border>
    <border>
      <right style="thick">
        <color rgb="FF000000"/>
      </right>
      <bottom style="thin">
        <color rgb="FFB7B7B7"/>
      </bottom>
    </border>
    <border>
      <bottom style="thin">
        <color rgb="FFFFFFFF"/>
      </bottom>
    </border>
    <border>
      <left style="thin">
        <color rgb="FF999999"/>
      </left>
      <bottom style="thin">
        <color rgb="FFFFFFFF"/>
      </bottom>
    </border>
    <border>
      <left style="thick">
        <color rgb="FF000000"/>
      </left>
      <bottom style="thin">
        <color rgb="FFFFFFFF"/>
      </bottom>
    </border>
    <border>
      <right style="thick">
        <color rgb="FF000000"/>
      </right>
      <bottom style="thin">
        <color rgb="FFFFFFFF"/>
      </bottom>
    </border>
    <border>
      <right style="thin">
        <color rgb="FFD9D9D9"/>
      </right>
      <bottom style="hair">
        <color rgb="FF999999"/>
      </bottom>
    </border>
    <border>
      <left style="thin">
        <color rgb="FF999999"/>
      </left>
      <bottom style="hair">
        <color rgb="FF999999"/>
      </bottom>
    </border>
    <border>
      <bottom style="hair">
        <color rgb="FF999999"/>
      </bottom>
    </border>
    <border>
      <left style="thick">
        <color rgb="FF000000"/>
      </left>
      <bottom style="hair">
        <color rgb="FF999999"/>
      </bottom>
    </border>
    <border>
      <right style="thick">
        <color rgb="FF000000"/>
      </right>
      <bottom style="hair">
        <color rgb="FF999999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D9D9D9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D9D9D9"/>
      </right>
    </border>
    <border>
      <right style="thick">
        <color rgb="FF000000"/>
      </right>
    </border>
    <border>
      <right style="thin">
        <color rgb="FFD9D9D9"/>
      </right>
      <top style="hair">
        <color rgb="FF999999"/>
      </top>
      <bottom style="hair">
        <color rgb="FF999999"/>
      </bottom>
    </border>
    <border>
      <right style="thin">
        <color rgb="FF999999"/>
      </right>
      <top style="hair">
        <color rgb="FF999999"/>
      </top>
      <bottom style="hair">
        <color rgb="FF999999"/>
      </bottom>
    </border>
    <border>
      <right style="thin">
        <color rgb="FF999999"/>
      </right>
      <bottom style="thin">
        <color rgb="FFB7B7B7"/>
      </bottom>
    </border>
    <border>
      <right style="thin">
        <color rgb="FF999999"/>
      </right>
      <bottom style="thin">
        <color rgb="FFFFFFFF"/>
      </bottom>
    </border>
    <border>
      <right style="thin">
        <color rgb="FF999999"/>
      </right>
      <bottom style="hair">
        <color rgb="FF999999"/>
      </bottom>
    </border>
    <border>
      <top style="thin">
        <color rgb="FFFFFFFF"/>
      </top>
      <bottom style="hair">
        <color rgb="FF999999"/>
      </bottom>
    </border>
    <border>
      <right style="thin">
        <color rgb="FFD9D9D9"/>
      </right>
      <top style="thin">
        <color rgb="FFFFFFFF"/>
      </top>
      <bottom style="hair">
        <color rgb="FF999999"/>
      </bottom>
    </border>
    <border>
      <right style="thick">
        <color rgb="FF000000"/>
      </right>
      <top style="thin">
        <color rgb="FFFFFFFF"/>
      </top>
      <bottom style="hair">
        <color rgb="FF999999"/>
      </bottom>
    </border>
    <border>
      <left style="thick">
        <color rgb="FF000000"/>
      </left>
      <right style="thin">
        <color rgb="FFD9D9D9"/>
      </right>
      <bottom style="hair">
        <color rgb="FF999999"/>
      </bottom>
    </border>
  </borders>
  <cellStyleXfs count="1">
    <xf borderId="0" fillId="0" fontId="0" numFmtId="0" applyAlignment="1" applyFont="1"/>
  </cellStyleXfs>
  <cellXfs count="2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ill="1" applyFont="1">
      <alignment horizontal="center" readingOrder="0" shrinkToFit="0" vertical="center" wrapText="0"/>
    </xf>
    <xf borderId="0" fillId="2" fontId="5" numFmtId="0" xfId="0" applyAlignment="1" applyFill="1" applyFont="1">
      <alignment horizontal="center" shrinkToFit="0" vertical="center" wrapText="0"/>
    </xf>
    <xf borderId="0" fillId="2" fontId="5" numFmtId="0" xfId="0" applyAlignment="1" applyFill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ill="1" applyFont="1">
      <alignment shrinkToFit="0" vertical="center" wrapText="0"/>
    </xf>
    <xf borderId="0" fillId="0" fontId="1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ill="1" applyFont="1">
      <alignment readingOrder="0" shrinkToFit="0" vertical="center" wrapText="0"/>
    </xf>
    <xf borderId="1" fillId="2" fontId="8" numFmtId="0" xfId="0" applyAlignment="1" applyBorder="1" applyFill="1" applyFont="1">
      <alignment readingOrder="0" shrinkToFit="0" vertical="center" wrapText="0"/>
    </xf>
    <xf borderId="1" fillId="0" fontId="9" numFmtId="0" xfId="0" applyBorder="1" applyFont="1"/>
    <xf borderId="1" fillId="2" fontId="10" numFmtId="0" xfId="0" applyAlignment="1" applyBorder="1" applyFill="1" applyFont="1">
      <alignment readingOrder="0" shrinkToFit="0" vertical="center" wrapText="1"/>
    </xf>
    <xf borderId="0" fillId="2" fontId="11" numFmtId="0" xfId="0" applyAlignment="1" applyFill="1" applyFont="1">
      <alignment readingOrder="0" shrinkToFit="0" vertical="center" wrapText="0"/>
    </xf>
    <xf borderId="0" fillId="0" fontId="12" numFmtId="0" xfId="0" applyAlignment="1" applyFont="1">
      <alignment vertical="center"/>
    </xf>
    <xf borderId="0" fillId="2" fontId="13" numFmtId="0" xfId="0" applyAlignment="1" applyFill="1" applyFont="1">
      <alignment shrinkToFit="0" vertical="center" wrapText="0"/>
    </xf>
    <xf borderId="0" fillId="2" fontId="13" numFmtId="0" xfId="0" applyAlignment="1" applyFill="1" applyFont="1">
      <alignment horizontal="center" shrinkToFit="0" vertical="center" wrapText="0"/>
    </xf>
    <xf borderId="0" fillId="0" fontId="13" numFmtId="0" xfId="0" applyAlignment="1" applyFont="1">
      <alignment shrinkToFit="0" vertical="center" wrapText="0"/>
    </xf>
    <xf borderId="0" fillId="3" fontId="14" numFmtId="0" xfId="0" applyAlignment="1" applyFill="1" applyFont="1">
      <alignment horizontal="left" readingOrder="0" shrinkToFit="0" vertical="center" wrapText="1"/>
    </xf>
    <xf borderId="2" fillId="4" fontId="15" numFmtId="0" xfId="0" applyAlignment="1" applyBorder="1" applyFill="1" applyFont="1">
      <alignment horizontal="center" readingOrder="0" shrinkToFit="0" vertical="center" wrapText="0"/>
    </xf>
    <xf borderId="3" fillId="0" fontId="9" numFmtId="0" xfId="0" applyBorder="1" applyFont="1"/>
    <xf borderId="0" fillId="4" fontId="15" numFmtId="0" xfId="0" applyAlignment="1" applyFill="1" applyFont="1">
      <alignment horizontal="center" readingOrder="0" shrinkToFit="0" vertical="center" wrapText="0"/>
    </xf>
    <xf borderId="4" fillId="4" fontId="15" numFmtId="0" xfId="0" applyAlignment="1" applyBorder="1" applyFill="1" applyFont="1">
      <alignment horizontal="center" readingOrder="0" shrinkToFit="0" vertical="center" wrapText="0"/>
    </xf>
    <xf borderId="5" fillId="0" fontId="9" numFmtId="0" xfId="0" applyBorder="1" applyFont="1"/>
    <xf borderId="6" fillId="0" fontId="9" numFmtId="0" xfId="0" applyBorder="1" applyFont="1"/>
    <xf borderId="0" fillId="0" fontId="16" numFmtId="0" xfId="0" applyAlignment="1" applyFont="1">
      <alignment vertical="center"/>
    </xf>
    <xf borderId="7" fillId="5" fontId="17" numFmtId="0" xfId="0" applyAlignment="1" applyBorder="1" applyFill="1" applyFont="1">
      <alignment horizontal="center" readingOrder="0" shrinkToFit="0" vertical="center" wrapText="0"/>
    </xf>
    <xf borderId="8" fillId="0" fontId="9" numFmtId="0" xfId="0" applyBorder="1" applyFont="1"/>
    <xf borderId="9" fillId="5" fontId="17" numFmtId="0" xfId="0" applyAlignment="1" applyBorder="1" applyFill="1" applyFont="1">
      <alignment horizontal="center" readingOrder="0" shrinkToFit="0" vertical="center" wrapText="0"/>
    </xf>
    <xf borderId="10" fillId="0" fontId="9" numFmtId="0" xfId="0" applyBorder="1" applyFont="1"/>
    <xf borderId="0" fillId="0" fontId="18" numFmtId="0" xfId="0" applyAlignment="1" applyFont="1">
      <alignment vertical="center"/>
    </xf>
    <xf borderId="11" fillId="6" fontId="19" numFmtId="0" xfId="0" applyAlignment="1" applyBorder="1" applyFill="1" applyFont="1">
      <alignment horizontal="left" readingOrder="0" shrinkToFit="0" vertical="center" wrapText="0"/>
    </xf>
    <xf borderId="11" fillId="6" fontId="19" numFmtId="0" xfId="0" applyAlignment="1" applyBorder="1" applyFill="1" applyFont="1">
      <alignment horizontal="center" readingOrder="0" shrinkToFit="0" vertical="center" wrapText="0"/>
    </xf>
    <xf borderId="11" fillId="0" fontId="9" numFmtId="0" xfId="0" applyBorder="1" applyFont="1"/>
    <xf borderId="12" fillId="6" fontId="20" numFmtId="0" xfId="0" applyAlignment="1" applyBorder="1" applyFill="1" applyFont="1">
      <alignment horizontal="center" shrinkToFit="0" vertical="center" wrapText="0"/>
    </xf>
    <xf borderId="11" fillId="6" fontId="20" numFmtId="0" xfId="0" applyAlignment="1" applyBorder="1" applyFill="1" applyFont="1">
      <alignment horizontal="center" shrinkToFit="0" vertical="center" wrapText="0"/>
    </xf>
    <xf borderId="13" fillId="6" fontId="20" numFmtId="164" xfId="0" applyAlignment="1" applyBorder="1" applyFill="1" applyFont="1" applyNumberFormat="1">
      <alignment horizontal="center" readingOrder="0" shrinkToFit="0" vertical="center" wrapText="0"/>
    </xf>
    <xf borderId="11" fillId="7" fontId="20" numFmtId="164" xfId="0" applyAlignment="1" applyBorder="1" applyFill="1" applyFont="1" applyNumberFormat="1">
      <alignment horizontal="center" shrinkToFit="0" vertical="center" wrapText="0"/>
    </xf>
    <xf borderId="11" fillId="6" fontId="20" numFmtId="164" xfId="0" applyAlignment="1" applyBorder="1" applyFill="1" applyFont="1" applyNumberFormat="1">
      <alignment horizontal="center" shrinkToFit="0" vertical="center" wrapText="0"/>
    </xf>
    <xf borderId="14" fillId="0" fontId="9" numFmtId="0" xfId="0" applyBorder="1" applyFont="1"/>
    <xf borderId="0" fillId="2" fontId="12" numFmtId="0" xfId="0" applyAlignment="1" applyFill="1" applyFont="1">
      <alignment vertical="center"/>
    </xf>
    <xf borderId="15" fillId="2" fontId="21" numFmtId="0" xfId="0" applyAlignment="1" applyBorder="1" applyFill="1" applyFont="1">
      <alignment readingOrder="0" shrinkToFit="0" vertical="center" wrapText="1"/>
    </xf>
    <xf borderId="15" fillId="2" fontId="21" numFmtId="165" xfId="0" applyAlignment="1" applyBorder="1" applyFill="1" applyFont="1" applyNumberFormat="1">
      <alignment readingOrder="0" shrinkToFit="0" vertical="center" wrapText="1"/>
    </xf>
    <xf borderId="16" fillId="0" fontId="22" numFmtId="164" xfId="0" applyAlignment="1" applyBorder="1" applyFont="1" applyNumberFormat="1">
      <alignment horizontal="center" readingOrder="0" shrinkToFit="0" vertical="center" wrapText="0"/>
    </xf>
    <xf borderId="17" fillId="0" fontId="9" numFmtId="0" xfId="0" applyBorder="1" applyFont="1"/>
    <xf borderId="15" fillId="0" fontId="9" numFmtId="0" xfId="0" applyBorder="1" applyFont="1"/>
    <xf borderId="17" fillId="8" fontId="23" numFmtId="164" xfId="0" applyAlignment="1" applyBorder="1" applyFill="1" applyFont="1" applyNumberFormat="1">
      <alignment horizontal="center" readingOrder="0" shrinkToFit="0" vertical="center" wrapText="0"/>
    </xf>
    <xf borderId="16" fillId="5" fontId="22" numFmtId="164" xfId="0" applyAlignment="1" applyBorder="1" applyFill="1" applyFont="1" applyNumberFormat="1">
      <alignment horizontal="center" readingOrder="0" shrinkToFit="0" vertical="center" wrapText="0"/>
    </xf>
    <xf borderId="17" fillId="5" fontId="23" numFmtId="164" xfId="0" applyAlignment="1" applyBorder="1" applyFill="1" applyFont="1" applyNumberFormat="1">
      <alignment horizontal="center" readingOrder="0" shrinkToFit="0" vertical="center" wrapText="0"/>
    </xf>
    <xf borderId="17" fillId="5" fontId="23" numFmtId="164" xfId="0" applyAlignment="1" applyBorder="1" applyFill="1" applyFont="1" applyNumberFormat="1">
      <alignment horizontal="center" shrinkToFit="0" vertical="center" wrapText="0"/>
    </xf>
    <xf borderId="18" fillId="0" fontId="22" numFmtId="164" xfId="0" applyAlignment="1" applyBorder="1" applyFont="1" applyNumberFormat="1">
      <alignment horizontal="center" readingOrder="0" shrinkToFit="0" vertical="center" wrapText="0"/>
    </xf>
    <xf borderId="17" fillId="2" fontId="23" numFmtId="164" xfId="0" applyAlignment="1" applyBorder="1" applyFill="1" applyFont="1" applyNumberFormat="1">
      <alignment horizontal="center" shrinkToFit="0" vertical="center" wrapText="0"/>
    </xf>
    <xf borderId="17" fillId="2" fontId="23" numFmtId="0" xfId="0" applyAlignment="1" applyBorder="1" applyFill="1" applyFont="1">
      <alignment horizontal="center" readingOrder="0" shrinkToFit="0" vertical="center" wrapText="0"/>
    </xf>
    <xf borderId="19" fillId="0" fontId="9" numFmtId="0" xfId="0" applyBorder="1" applyFont="1"/>
    <xf borderId="17" fillId="2" fontId="21" numFmtId="0" xfId="0" applyAlignment="1" applyBorder="1" applyFill="1" applyFont="1">
      <alignment readingOrder="0" shrinkToFit="0" vertical="center" wrapText="1"/>
    </xf>
    <xf borderId="17" fillId="8" fontId="23" numFmtId="164" xfId="0" applyAlignment="1" applyBorder="1" applyFill="1" applyFont="1" applyNumberFormat="1">
      <alignment horizontal="center" readingOrder="0" shrinkToFit="0" vertical="center" wrapText="0"/>
    </xf>
    <xf borderId="17" fillId="2" fontId="23" numFmtId="0" xfId="0" applyAlignment="1" applyBorder="1" applyFill="1" applyFont="1">
      <alignment horizontal="center" shrinkToFit="0" vertical="center" wrapText="0"/>
    </xf>
    <xf borderId="16" fillId="5" fontId="23" numFmtId="0" xfId="0" applyAlignment="1" applyBorder="1" applyFill="1" applyFont="1">
      <alignment horizontal="center" shrinkToFit="0" vertical="center" wrapText="0"/>
    </xf>
    <xf borderId="17" fillId="5" fontId="23" numFmtId="164" xfId="0" applyAlignment="1" applyBorder="1" applyFill="1" applyFont="1" applyNumberFormat="1">
      <alignment horizontal="center" readingOrder="0" shrinkToFit="0" vertical="center" wrapText="0"/>
    </xf>
    <xf borderId="1" fillId="2" fontId="24" numFmtId="0" xfId="0" applyAlignment="1" applyBorder="1" applyFill="1" applyFont="1">
      <alignment readingOrder="0" shrinkToFit="0" vertical="center" wrapText="0"/>
    </xf>
    <xf borderId="11" fillId="9" fontId="19" numFmtId="0" xfId="0" applyAlignment="1" applyBorder="1" applyFill="1" applyFont="1">
      <alignment horizontal="left" readingOrder="0" shrinkToFit="0" vertical="center" wrapText="0"/>
    </xf>
    <xf borderId="11" fillId="9" fontId="19" numFmtId="0" xfId="0" applyAlignment="1" applyBorder="1" applyFill="1" applyFont="1">
      <alignment horizontal="center" readingOrder="0" shrinkToFit="0" vertical="center" wrapText="0"/>
    </xf>
    <xf borderId="12" fillId="9" fontId="20" numFmtId="0" xfId="0" applyAlignment="1" applyBorder="1" applyFill="1" applyFont="1">
      <alignment horizontal="center" shrinkToFit="0" vertical="center" wrapText="0"/>
    </xf>
    <xf borderId="11" fillId="9" fontId="20" numFmtId="0" xfId="0" applyAlignment="1" applyBorder="1" applyFill="1" applyFont="1">
      <alignment horizontal="center" shrinkToFit="0" vertical="center" wrapText="0"/>
    </xf>
    <xf borderId="13" fillId="9" fontId="20" numFmtId="164" xfId="0" applyAlignment="1" applyBorder="1" applyFill="1" applyFont="1" applyNumberFormat="1">
      <alignment horizontal="center" readingOrder="0" shrinkToFit="0" vertical="center" wrapText="0"/>
    </xf>
    <xf borderId="11" fillId="9" fontId="20" numFmtId="164" xfId="0" applyAlignment="1" applyBorder="1" applyFill="1" applyFont="1" applyNumberFormat="1">
      <alignment horizontal="center" shrinkToFit="0" vertical="center" wrapText="0"/>
    </xf>
    <xf borderId="17" fillId="10" fontId="23" numFmtId="164" xfId="0" applyAlignment="1" applyBorder="1" applyFill="1" applyFont="1" applyNumberFormat="1">
      <alignment horizontal="center" readingOrder="0" shrinkToFit="0" vertical="center" wrapText="0"/>
    </xf>
    <xf borderId="17" fillId="5" fontId="25" numFmtId="164" xfId="0" applyAlignment="1" applyBorder="1" applyFill="1" applyFont="1" applyNumberFormat="1">
      <alignment horizontal="center" readingOrder="0" shrinkToFit="0" vertical="center" wrapText="0"/>
    </xf>
    <xf borderId="17" fillId="10" fontId="23" numFmtId="164" xfId="0" applyAlignment="1" applyBorder="1" applyFill="1" applyFont="1" applyNumberFormat="1">
      <alignment horizontal="center" readingOrder="0" shrinkToFit="0" vertical="center" wrapText="0"/>
    </xf>
    <xf borderId="1" fillId="2" fontId="26" numFmtId="0" xfId="0" applyAlignment="1" applyBorder="1" applyFill="1" applyFont="1">
      <alignment readingOrder="0" shrinkToFit="0" vertical="center" wrapText="0"/>
    </xf>
    <xf borderId="11" fillId="11" fontId="19" numFmtId="0" xfId="0" applyAlignment="1" applyBorder="1" applyFill="1" applyFont="1">
      <alignment horizontal="left" readingOrder="0" shrinkToFit="0" vertical="center" wrapText="0"/>
    </xf>
    <xf borderId="11" fillId="11" fontId="19" numFmtId="0" xfId="0" applyAlignment="1" applyBorder="1" applyFill="1" applyFont="1">
      <alignment horizontal="center" readingOrder="0" shrinkToFit="0" vertical="center" wrapText="0"/>
    </xf>
    <xf borderId="12" fillId="11" fontId="20" numFmtId="0" xfId="0" applyAlignment="1" applyBorder="1" applyFill="1" applyFont="1">
      <alignment horizontal="center" shrinkToFit="0" vertical="center" wrapText="0"/>
    </xf>
    <xf borderId="11" fillId="11" fontId="20" numFmtId="0" xfId="0" applyAlignment="1" applyBorder="1" applyFill="1" applyFont="1">
      <alignment horizontal="center" shrinkToFit="0" vertical="center" wrapText="0"/>
    </xf>
    <xf borderId="13" fillId="12" fontId="20" numFmtId="164" xfId="0" applyAlignment="1" applyBorder="1" applyFill="1" applyFont="1" applyNumberFormat="1">
      <alignment horizontal="center" readingOrder="0" shrinkToFit="0" vertical="center" wrapText="0"/>
    </xf>
    <xf borderId="0" fillId="2" fontId="18" numFmtId="0" xfId="0" applyAlignment="1" applyFill="1" applyFont="1">
      <alignment vertical="center"/>
    </xf>
    <xf borderId="18" fillId="0" fontId="27" numFmtId="164" xfId="0" applyAlignment="1" applyBorder="1" applyFont="1" applyNumberFormat="1">
      <alignment horizontal="center" readingOrder="0" shrinkToFit="0" vertical="center" wrapText="0"/>
    </xf>
    <xf borderId="17" fillId="2" fontId="28" numFmtId="164" xfId="0" applyAlignment="1" applyBorder="1" applyFill="1" applyFont="1" applyNumberFormat="1">
      <alignment horizontal="center" shrinkToFit="0" vertical="center" wrapText="0"/>
    </xf>
    <xf borderId="17" fillId="2" fontId="28" numFmtId="0" xfId="0" applyAlignment="1" applyBorder="1" applyFill="1" applyFont="1">
      <alignment horizontal="center" readingOrder="0" shrinkToFit="0" vertical="center" wrapText="0"/>
    </xf>
    <xf borderId="17" fillId="13" fontId="23" numFmtId="164" xfId="0" applyAlignment="1" applyBorder="1" applyFill="1" applyFont="1" applyNumberFormat="1">
      <alignment horizontal="center" readingOrder="0" shrinkToFit="0" vertical="center" wrapText="0"/>
    </xf>
    <xf borderId="17" fillId="5" fontId="28" numFmtId="164" xfId="0" applyAlignment="1" applyBorder="1" applyFill="1" applyFont="1" applyNumberFormat="1">
      <alignment horizontal="center" shrinkToFit="0" vertical="center" wrapText="0"/>
    </xf>
    <xf borderId="15" fillId="2" fontId="21" numFmtId="166" xfId="0" applyAlignment="1" applyBorder="1" applyFill="1" applyFont="1" applyNumberFormat="1">
      <alignment readingOrder="0" shrinkToFit="0" vertical="center" wrapText="1"/>
    </xf>
    <xf borderId="16" fillId="0" fontId="22" numFmtId="164" xfId="0" applyAlignment="1" applyBorder="1" applyFont="1" applyNumberFormat="1">
      <alignment horizontal="center" readingOrder="0" shrinkToFit="0" vertical="center" wrapText="0"/>
    </xf>
    <xf borderId="17" fillId="13" fontId="23" numFmtId="164" xfId="0" applyAlignment="1" applyBorder="1" applyFill="1" applyFont="1" applyNumberFormat="1">
      <alignment horizontal="center" readingOrder="0" shrinkToFit="0" vertical="center" wrapText="0"/>
    </xf>
    <xf borderId="17" fillId="5" fontId="28" numFmtId="164" xfId="0" applyAlignment="1" applyBorder="1" applyFill="1" applyFont="1" applyNumberFormat="1">
      <alignment horizontal="center"/>
    </xf>
    <xf borderId="15" fillId="2" fontId="21" numFmtId="0" xfId="0" applyAlignment="1" applyBorder="1" applyFill="1" applyFont="1">
      <alignment readingOrder="0" shrinkToFit="0" vertical="bottom" wrapText="1"/>
    </xf>
    <xf borderId="15" fillId="2" fontId="21" numFmtId="165" xfId="0" applyAlignment="1" applyBorder="1" applyFill="1" applyFont="1" applyNumberFormat="1">
      <alignment readingOrder="0" shrinkToFit="0" vertical="bottom" wrapText="1"/>
    </xf>
    <xf borderId="17" fillId="2" fontId="21" numFmtId="0" xfId="0" applyAlignment="1" applyBorder="1" applyFill="1" applyFont="1">
      <alignment readingOrder="0" shrinkToFit="0" vertical="bottom" wrapText="1"/>
    </xf>
    <xf borderId="17" fillId="5" fontId="22" numFmtId="164" xfId="0" applyAlignment="1" applyBorder="1" applyFill="1" applyFont="1" applyNumberFormat="1">
      <alignment horizontal="center" readingOrder="0" shrinkToFit="0" vertical="center" wrapText="0"/>
    </xf>
    <xf borderId="11" fillId="14" fontId="19" numFmtId="0" xfId="0" applyAlignment="1" applyBorder="1" applyFill="1" applyFont="1">
      <alignment horizontal="left" readingOrder="0" shrinkToFit="0" vertical="center" wrapText="0"/>
    </xf>
    <xf borderId="11" fillId="14" fontId="19" numFmtId="0" xfId="0" applyAlignment="1" applyBorder="1" applyFill="1" applyFont="1">
      <alignment horizontal="left" shrinkToFit="0" vertical="center" wrapText="0"/>
    </xf>
    <xf borderId="11" fillId="14" fontId="29" numFmtId="0" xfId="0" applyAlignment="1" applyBorder="1" applyFill="1" applyFont="1">
      <alignment horizontal="left" readingOrder="0" shrinkToFit="0" vertical="center" wrapText="1"/>
    </xf>
    <xf borderId="12" fillId="14" fontId="20" numFmtId="0" xfId="0" applyAlignment="1" applyBorder="1" applyFill="1" applyFont="1">
      <alignment horizontal="center" shrinkToFit="0" vertical="center" wrapText="0"/>
    </xf>
    <xf borderId="11" fillId="14" fontId="20" numFmtId="0" xfId="0" applyAlignment="1" applyBorder="1" applyFill="1" applyFont="1">
      <alignment horizontal="center" shrinkToFit="0" vertical="center" wrapText="0"/>
    </xf>
    <xf borderId="13" fillId="14" fontId="20" numFmtId="0" xfId="0" applyAlignment="1" applyBorder="1" applyFill="1" applyFont="1">
      <alignment horizontal="center" shrinkToFit="0" vertical="center" wrapText="0"/>
    </xf>
    <xf borderId="17" fillId="2" fontId="21" numFmtId="165" xfId="0" applyAlignment="1" applyBorder="1" applyFill="1" applyFont="1" applyNumberFormat="1">
      <alignment horizontal="left" readingOrder="0" shrinkToFit="0" vertical="center" wrapText="1"/>
    </xf>
    <xf borderId="17" fillId="0" fontId="23" numFmtId="0" xfId="0" applyAlignment="1" applyBorder="1" applyFont="1">
      <alignment horizontal="center" readingOrder="0" shrinkToFit="0" vertical="center" wrapText="0"/>
    </xf>
    <xf borderId="17" fillId="5" fontId="23" numFmtId="0" xfId="0" applyAlignment="1" applyBorder="1" applyFill="1" applyFont="1">
      <alignment horizontal="center" shrinkToFit="0" vertical="center" wrapText="0"/>
    </xf>
    <xf borderId="17" fillId="5" fontId="23" numFmtId="0" xfId="0" applyAlignment="1" applyBorder="1" applyFill="1" applyFont="1">
      <alignment horizontal="center" readingOrder="0" shrinkToFit="0" vertical="center" wrapText="0"/>
    </xf>
    <xf borderId="15" fillId="2" fontId="21" numFmtId="167" xfId="0" applyAlignment="1" applyBorder="1" applyFill="1" applyFont="1" applyNumberFormat="1">
      <alignment readingOrder="0" shrinkToFit="0" vertical="center" wrapText="1"/>
    </xf>
    <xf borderId="17" fillId="2" fontId="21" numFmtId="167" xfId="0" applyAlignment="1" applyBorder="1" applyFill="1" applyFont="1" applyNumberFormat="1">
      <alignment horizontal="left" readingOrder="0" shrinkToFit="0" vertical="center" wrapText="1"/>
    </xf>
    <xf borderId="16" fillId="0" fontId="23" numFmtId="0" xfId="0" applyAlignment="1" applyBorder="1" applyFont="1">
      <alignment horizontal="center" readingOrder="0" shrinkToFit="0" vertical="center" wrapText="0"/>
    </xf>
    <xf borderId="17" fillId="15" fontId="23" numFmtId="164" xfId="0" applyAlignment="1" applyBorder="1" applyFill="1" applyFont="1" applyNumberFormat="1">
      <alignment horizontal="center" readingOrder="0" shrinkToFit="0" vertical="center" wrapText="0"/>
    </xf>
    <xf borderId="17" fillId="0" fontId="22" numFmtId="164" xfId="0" applyAlignment="1" applyBorder="1" applyFont="1" applyNumberFormat="1">
      <alignment horizontal="center" readingOrder="0" shrinkToFit="0" vertical="center" wrapText="0"/>
    </xf>
    <xf borderId="18" fillId="3" fontId="23" numFmtId="0" xfId="0" applyAlignment="1" applyBorder="1" applyFill="1" applyFont="1">
      <alignment horizontal="center" shrinkToFit="0" vertical="center" wrapText="0"/>
    </xf>
    <xf borderId="17" fillId="3" fontId="23" numFmtId="0" xfId="0" applyAlignment="1" applyBorder="1" applyFill="1" applyFont="1">
      <alignment horizontal="center" shrinkToFit="0" vertical="center" wrapText="0"/>
    </xf>
    <xf borderId="20" fillId="0" fontId="23" numFmtId="0" xfId="0" applyAlignment="1" applyBorder="1" applyFont="1">
      <alignment horizontal="center" shrinkToFit="0" vertical="center" wrapText="0"/>
    </xf>
    <xf borderId="21" fillId="0" fontId="9" numFmtId="0" xfId="0" applyBorder="1" applyFont="1"/>
    <xf borderId="22" fillId="0" fontId="9" numFmtId="0" xfId="0" applyBorder="1" applyFont="1"/>
    <xf borderId="21" fillId="0" fontId="23" numFmtId="0" xfId="0" applyAlignment="1" applyBorder="1" applyFont="1">
      <alignment horizontal="center" shrinkToFit="0" vertical="center" wrapText="0"/>
    </xf>
    <xf borderId="23" fillId="0" fontId="9" numFmtId="0" xfId="0" applyBorder="1" applyFont="1"/>
    <xf borderId="0" fillId="0" fontId="12" numFmtId="0" xfId="0" applyAlignment="1" applyFont="1">
      <alignment horizontal="center" vertical="center"/>
    </xf>
    <xf borderId="0" fillId="2" fontId="30" numFmtId="0" xfId="0" applyAlignment="1" applyFill="1" applyFont="1">
      <alignment vertical="center"/>
    </xf>
    <xf borderId="0" fillId="2" fontId="23" numFmtId="0" xfId="0" applyAlignment="1" applyFill="1" applyFont="1">
      <alignment horizontal="center" shrinkToFit="0" vertical="center" wrapText="0"/>
    </xf>
    <xf borderId="24" fillId="0" fontId="9" numFmtId="0" xfId="0" applyBorder="1" applyFont="1"/>
    <xf borderId="25" fillId="0" fontId="9" numFmtId="0" xfId="0" applyBorder="1" applyFont="1"/>
    <xf borderId="26" fillId="2" fontId="21" numFmtId="0" xfId="0" applyAlignment="1" applyBorder="1" applyFill="1" applyFont="1">
      <alignment readingOrder="0" shrinkToFit="0" vertical="bottom" wrapText="1"/>
    </xf>
    <xf borderId="26" fillId="2" fontId="21" numFmtId="165" xfId="0" applyAlignment="1" applyBorder="1" applyFill="1" applyFont="1" applyNumberFormat="1">
      <alignment horizontal="right" readingOrder="0" shrinkToFit="0" vertical="bottom" wrapText="1"/>
    </xf>
    <xf borderId="27" fillId="2" fontId="21" numFmtId="0" xfId="0" applyAlignment="1" applyBorder="1" applyFill="1" applyFont="1">
      <alignment readingOrder="0" shrinkToFit="0" vertical="bottom" wrapText="1"/>
    </xf>
    <xf borderId="1" fillId="2" fontId="31" numFmtId="0" xfId="0" applyAlignment="1" applyBorder="1" applyFill="1" applyFont="1">
      <alignment readingOrder="0" shrinkToFit="0" vertical="center" wrapText="0"/>
    </xf>
    <xf borderId="0" fillId="2" fontId="28" numFmtId="0" xfId="0" applyAlignment="1" applyFill="1" applyFont="1">
      <alignment horizontal="center" readingOrder="0" shrinkToFit="0" vertical="bottom" wrapText="0"/>
    </xf>
    <xf borderId="11" fillId="16" fontId="19" numFmtId="0" xfId="0" applyAlignment="1" applyBorder="1" applyFill="1" applyFont="1">
      <alignment horizontal="left" readingOrder="0" shrinkToFit="0" vertical="center" wrapText="0"/>
    </xf>
    <xf borderId="11" fillId="16" fontId="19" numFmtId="0" xfId="0" applyAlignment="1" applyBorder="1" applyFill="1" applyFont="1">
      <alignment horizontal="center" readingOrder="0" shrinkToFit="0" vertical="center" wrapText="0"/>
    </xf>
    <xf borderId="12" fillId="16" fontId="20" numFmtId="0" xfId="0" applyAlignment="1" applyBorder="1" applyFill="1" applyFont="1">
      <alignment horizontal="center" shrinkToFit="0" vertical="center" wrapText="0"/>
    </xf>
    <xf borderId="11" fillId="16" fontId="20" numFmtId="0" xfId="0" applyAlignment="1" applyBorder="1" applyFill="1" applyFont="1">
      <alignment horizontal="center" shrinkToFit="0" vertical="center" wrapText="0"/>
    </xf>
    <xf borderId="13" fillId="16" fontId="20" numFmtId="164" xfId="0" applyAlignment="1" applyBorder="1" applyFill="1" applyFont="1" applyNumberFormat="1">
      <alignment horizontal="center" readingOrder="0" shrinkToFit="0" vertical="center" wrapText="0"/>
    </xf>
    <xf borderId="11" fillId="16" fontId="20" numFmtId="164" xfId="0" applyAlignment="1" applyBorder="1" applyFill="1" applyFont="1" applyNumberFormat="1">
      <alignment horizontal="center" shrinkToFit="0" vertical="center" wrapText="0"/>
    </xf>
    <xf borderId="16" fillId="5" fontId="23" numFmtId="0" xfId="0" applyAlignment="1" applyBorder="1" applyFill="1" applyFont="1">
      <alignment horizontal="center" readingOrder="0" shrinkToFit="0" vertical="center" wrapText="0"/>
    </xf>
    <xf borderId="17" fillId="13" fontId="23" numFmtId="164" xfId="0" applyAlignment="1" applyBorder="1" applyFill="1" applyFont="1" applyNumberFormat="1">
      <alignment horizontal="center" shrinkToFit="0" vertical="center" wrapText="0"/>
    </xf>
    <xf borderId="16" fillId="5" fontId="22" numFmtId="164" xfId="0" applyAlignment="1" applyBorder="1" applyFill="1" applyFont="1" applyNumberFormat="1">
      <alignment horizontal="center" readingOrder="0" shrinkToFit="0" vertical="center" wrapText="0"/>
    </xf>
    <xf borderId="17" fillId="13" fontId="23" numFmtId="0" xfId="0" applyAlignment="1" applyBorder="1" applyFill="1" applyFont="1">
      <alignment horizontal="center" readingOrder="0" shrinkToFit="0" vertical="center" wrapText="0"/>
    </xf>
    <xf borderId="17" fillId="10" fontId="23" numFmtId="0" xfId="0" applyAlignment="1" applyBorder="1" applyFill="1" applyFont="1">
      <alignment horizontal="center" readingOrder="0" shrinkToFit="0" vertical="center" wrapText="0"/>
    </xf>
    <xf borderId="15" fillId="2" fontId="21" numFmtId="165" xfId="0" applyAlignment="1" applyBorder="1" applyFill="1" applyFont="1" applyNumberFormat="1">
      <alignment horizontal="left" readingOrder="0" shrinkToFit="0" vertical="center" wrapText="1"/>
    </xf>
    <xf borderId="15" fillId="5" fontId="23" numFmtId="0" xfId="0" applyAlignment="1" applyBorder="1" applyFill="1" applyFont="1">
      <alignment horizontal="center" shrinkToFit="0" vertical="center" wrapText="0"/>
    </xf>
    <xf borderId="17" fillId="3" fontId="23" numFmtId="164" xfId="0" applyAlignment="1" applyBorder="1" applyFill="1" applyFont="1" applyNumberFormat="1">
      <alignment horizontal="center" readingOrder="0" shrinkToFit="0" vertical="center" wrapText="0"/>
    </xf>
    <xf quotePrefix="1" borderId="15" fillId="2" fontId="21" numFmtId="0" xfId="0" applyAlignment="1" applyBorder="1" applyFill="1" applyFont="1">
      <alignment readingOrder="0" shrinkToFit="0" vertical="center" wrapText="1"/>
    </xf>
    <xf borderId="15" fillId="2" fontId="21" numFmtId="168" xfId="0" applyAlignment="1" applyBorder="1" applyFill="1" applyFont="1" applyNumberFormat="1">
      <alignment readingOrder="0" shrinkToFit="0" vertical="center" wrapText="1"/>
    </xf>
    <xf borderId="16" fillId="5" fontId="32" numFmtId="0" xfId="0" applyAlignment="1" applyBorder="1" applyFill="1" applyFont="1">
      <alignment horizontal="center" shrinkToFit="0" vertical="center" wrapText="0"/>
    </xf>
    <xf borderId="17" fillId="5" fontId="32" numFmtId="164" xfId="0" applyAlignment="1" applyBorder="1" applyFill="1" applyFont="1" applyNumberFormat="1">
      <alignment horizontal="center" readingOrder="0" shrinkToFit="0" vertical="center" wrapText="0"/>
    </xf>
    <xf borderId="16" fillId="5" fontId="21" numFmtId="164" xfId="0" applyAlignment="1" applyBorder="1" applyFill="1" applyFont="1" applyNumberFormat="1">
      <alignment horizontal="center" readingOrder="0" shrinkToFit="0" vertical="center" wrapText="0"/>
    </xf>
    <xf borderId="17" fillId="5" fontId="32" numFmtId="164" xfId="0" applyAlignment="1" applyBorder="1" applyFill="1" applyFont="1" applyNumberFormat="1">
      <alignment horizontal="center" shrinkToFit="0" vertical="center" wrapText="0"/>
    </xf>
    <xf borderId="17" fillId="2" fontId="32" numFmtId="0" xfId="0" applyAlignment="1" applyBorder="1" applyFill="1" applyFont="1">
      <alignment horizontal="center" shrinkToFit="0" vertical="center" wrapText="0"/>
    </xf>
    <xf borderId="18" fillId="3" fontId="22" numFmtId="0" xfId="0" applyAlignment="1" applyBorder="1" applyFill="1" applyFont="1">
      <alignment horizontal="center" readingOrder="0" shrinkToFit="0" vertical="center" wrapText="0"/>
    </xf>
    <xf borderId="17" fillId="3" fontId="23" numFmtId="0" xfId="0" applyAlignment="1" applyBorder="1" applyFill="1" applyFont="1">
      <alignment horizontal="center" readingOrder="0" shrinkToFit="0" vertical="center" wrapText="0"/>
    </xf>
    <xf borderId="18" fillId="2" fontId="23" numFmtId="0" xfId="0" applyAlignment="1" applyBorder="1" applyFill="1" applyFont="1">
      <alignment horizontal="center" shrinkToFit="0" vertical="center" wrapText="0"/>
    </xf>
    <xf borderId="17" fillId="0" fontId="23" numFmtId="0" xfId="0" applyAlignment="1" applyBorder="1" applyFont="1">
      <alignment horizontal="center" shrinkToFit="0" vertical="center" wrapText="0"/>
    </xf>
    <xf borderId="17" fillId="0" fontId="23" numFmtId="164" xfId="0" applyAlignment="1" applyBorder="1" applyFont="1" applyNumberFormat="1">
      <alignment horizontal="center" shrinkToFit="0" vertical="center" wrapText="0"/>
    </xf>
    <xf borderId="18" fillId="0" fontId="23" numFmtId="0" xfId="0" applyAlignment="1" applyBorder="1" applyFont="1">
      <alignment horizontal="center" shrinkToFit="0" vertical="center" wrapText="0"/>
    </xf>
    <xf borderId="17" fillId="3" fontId="23" numFmtId="164" xfId="0" applyAlignment="1" applyBorder="1" applyFill="1" applyFont="1" applyNumberFormat="1">
      <alignment horizontal="center" shrinkToFit="0" vertical="center" wrapText="0"/>
    </xf>
    <xf borderId="1" fillId="2" fontId="33" numFmtId="0" xfId="0" applyAlignment="1" applyBorder="1" applyFill="1" applyFont="1">
      <alignment readingOrder="0" shrinkToFit="0" vertical="center" wrapText="0"/>
    </xf>
    <xf borderId="0" fillId="0" fontId="34" numFmtId="0" xfId="0" applyAlignment="1" applyFont="1">
      <alignment vertical="center"/>
    </xf>
    <xf borderId="28" fillId="0" fontId="9" numFmtId="0" xfId="0" applyBorder="1" applyFont="1"/>
    <xf borderId="0" fillId="0" fontId="35" numFmtId="0" xfId="0" applyAlignment="1" applyFont="1">
      <alignment vertical="center"/>
    </xf>
    <xf borderId="29" fillId="0" fontId="9" numFmtId="0" xfId="0" applyBorder="1" applyFont="1"/>
    <xf borderId="17" fillId="2" fontId="36" numFmtId="0" xfId="0" applyAlignment="1" applyBorder="1" applyFill="1" applyFont="1">
      <alignment horizontal="left" readingOrder="0" shrinkToFit="0" vertical="center" wrapText="1"/>
    </xf>
    <xf borderId="16" fillId="8" fontId="23" numFmtId="169" xfId="0" applyAlignment="1" applyBorder="1" applyFill="1" applyFont="1" applyNumberFormat="1">
      <alignment horizontal="center" readingOrder="0" shrinkToFit="0" vertical="center" wrapText="0"/>
    </xf>
    <xf borderId="17" fillId="8" fontId="23" numFmtId="169" xfId="0" applyAlignment="1" applyBorder="1" applyFill="1" applyFont="1" applyNumberFormat="1">
      <alignment horizontal="center" shrinkToFit="0" vertical="center" wrapText="0"/>
    </xf>
    <xf borderId="17" fillId="8" fontId="37" numFmtId="169" xfId="0" applyAlignment="1" applyBorder="1" applyFill="1" applyFont="1" applyNumberFormat="1">
      <alignment horizontal="center" shrinkToFit="0" vertical="center" wrapText="0"/>
    </xf>
    <xf borderId="30" fillId="0" fontId="9" numFmtId="0" xfId="0" applyBorder="1" applyFont="1"/>
    <xf borderId="17" fillId="8" fontId="23" numFmtId="164" xfId="0" applyAlignment="1" applyBorder="1" applyFill="1" applyFont="1" applyNumberFormat="1">
      <alignment horizontal="center" shrinkToFit="0" vertical="center" wrapText="0"/>
    </xf>
    <xf borderId="17" fillId="8" fontId="37" numFmtId="164" xfId="0" applyAlignment="1" applyBorder="1" applyFill="1" applyFont="1" applyNumberFormat="1">
      <alignment horizontal="center" shrinkToFit="0" vertical="center" wrapText="0"/>
    </xf>
    <xf borderId="0" fillId="0" fontId="23" numFmtId="0" xfId="0" applyAlignment="1" applyFont="1">
      <alignment horizontal="center" shrinkToFit="0" vertical="center" wrapText="0"/>
    </xf>
    <xf borderId="16" fillId="0" fontId="22" numFmtId="0" xfId="0" applyAlignment="1" applyBorder="1" applyFont="1">
      <alignment horizontal="center" readingOrder="0" shrinkToFit="0" vertical="center" wrapText="0"/>
    </xf>
    <xf borderId="17" fillId="2" fontId="22" numFmtId="169" xfId="0" applyAlignment="1" applyBorder="1" applyFill="1" applyFont="1" applyNumberFormat="1">
      <alignment horizontal="center" readingOrder="0" shrinkToFit="0" vertical="center" wrapText="0"/>
    </xf>
    <xf borderId="1" fillId="2" fontId="38" numFmtId="0" xfId="0" applyAlignment="1" applyBorder="1" applyFill="1" applyFont="1">
      <alignment readingOrder="0" shrinkToFit="0" vertical="center" wrapText="0"/>
    </xf>
    <xf borderId="17" fillId="2" fontId="21" numFmtId="0" xfId="0" applyAlignment="1" applyBorder="1" applyFill="1" applyFont="1">
      <alignment horizontal="right" readingOrder="0" shrinkToFit="0" vertical="center" wrapText="1"/>
    </xf>
    <xf borderId="11" fillId="17" fontId="19" numFmtId="0" xfId="0" applyAlignment="1" applyBorder="1" applyFill="1" applyFont="1">
      <alignment horizontal="left" readingOrder="0" shrinkToFit="0" vertical="center" wrapText="0"/>
    </xf>
    <xf borderId="11" fillId="17" fontId="19" numFmtId="0" xfId="0" applyAlignment="1" applyBorder="1" applyFill="1" applyFont="1">
      <alignment horizontal="center" readingOrder="0" shrinkToFit="0" vertical="center" wrapText="0"/>
    </xf>
    <xf borderId="12" fillId="17" fontId="20" numFmtId="0" xfId="0" applyAlignment="1" applyBorder="1" applyFill="1" applyFont="1">
      <alignment horizontal="center" shrinkToFit="0" vertical="center" wrapText="0"/>
    </xf>
    <xf borderId="11" fillId="17" fontId="20" numFmtId="0" xfId="0" applyAlignment="1" applyBorder="1" applyFill="1" applyFont="1">
      <alignment horizontal="center" shrinkToFit="0" vertical="center" wrapText="0"/>
    </xf>
    <xf borderId="17" fillId="2" fontId="22" numFmtId="169" xfId="0" applyAlignment="1" applyBorder="1" applyFill="1" applyFont="1" applyNumberFormat="1">
      <alignment horizontal="center" shrinkToFit="0" vertical="center" wrapText="0"/>
    </xf>
    <xf borderId="13" fillId="17" fontId="20" numFmtId="164" xfId="0" applyAlignment="1" applyBorder="1" applyFill="1" applyFont="1" applyNumberFormat="1">
      <alignment horizontal="center" readingOrder="0" shrinkToFit="0" vertical="center" wrapText="0"/>
    </xf>
    <xf borderId="11" fillId="17" fontId="20" numFmtId="164" xfId="0" applyAlignment="1" applyBorder="1" applyFill="1" applyFont="1" applyNumberFormat="1">
      <alignment horizontal="center" shrinkToFit="0" vertical="center" wrapText="0"/>
    </xf>
    <xf borderId="15" fillId="2" fontId="21" numFmtId="0" xfId="0" applyAlignment="1" applyBorder="1" applyFill="1" applyFont="1">
      <alignment horizontal="right" readingOrder="0" shrinkToFit="0" vertical="center" wrapText="1"/>
    </xf>
    <xf borderId="16" fillId="2" fontId="23" numFmtId="0" xfId="0" applyAlignment="1" applyBorder="1" applyFill="1" applyFont="1">
      <alignment horizontal="center" shrinkToFit="0" vertical="center" wrapText="0"/>
    </xf>
    <xf borderId="16" fillId="0" fontId="23" numFmtId="0" xfId="0" applyAlignment="1" applyBorder="1" applyFont="1">
      <alignment horizontal="center" shrinkToFit="0" vertical="center" wrapText="0"/>
    </xf>
    <xf borderId="0" fillId="2" fontId="36" numFmtId="0" xfId="0" applyAlignment="1" applyFill="1" applyFont="1">
      <alignment horizontal="left" readingOrder="0" shrinkToFit="0" vertical="center" wrapText="1"/>
    </xf>
    <xf borderId="0" fillId="2" fontId="21" numFmtId="0" xfId="0" applyAlignment="1" applyFill="1" applyFont="1">
      <alignment readingOrder="0" shrinkToFit="0" vertical="center" wrapText="1"/>
    </xf>
    <xf borderId="24" fillId="2" fontId="21" numFmtId="0" xfId="0" applyAlignment="1" applyBorder="1" applyFill="1" applyFont="1">
      <alignment readingOrder="0" shrinkToFit="0" vertical="center" wrapText="1"/>
    </xf>
    <xf borderId="2" fillId="2" fontId="23" numFmtId="0" xfId="0" applyAlignment="1" applyBorder="1" applyFill="1" applyFont="1">
      <alignment horizontal="center" shrinkToFit="0" vertical="center" wrapText="0"/>
    </xf>
    <xf borderId="17" fillId="0" fontId="36" numFmtId="0" xfId="0" applyAlignment="1" applyBorder="1" applyFont="1">
      <alignment horizontal="left" readingOrder="0" shrinkToFit="0" vertical="center" wrapText="1"/>
    </xf>
    <xf borderId="16" fillId="10" fontId="23" numFmtId="169" xfId="0" applyAlignment="1" applyBorder="1" applyFill="1" applyFont="1" applyNumberFormat="1">
      <alignment horizontal="center" readingOrder="0" shrinkToFit="0" vertical="center" wrapText="0"/>
    </xf>
    <xf borderId="17" fillId="10" fontId="23" numFmtId="169" xfId="0" applyAlignment="1" applyBorder="1" applyFill="1" applyFont="1" applyNumberFormat="1">
      <alignment horizontal="center" readingOrder="0" shrinkToFit="0" vertical="center" wrapText="0"/>
    </xf>
    <xf borderId="17" fillId="10" fontId="37" numFmtId="169" xfId="0" applyAlignment="1" applyBorder="1" applyFill="1" applyFont="1" applyNumberFormat="1">
      <alignment horizontal="center" shrinkToFit="0" vertical="center" wrapText="0"/>
    </xf>
    <xf borderId="17" fillId="10" fontId="23" numFmtId="164" xfId="0" applyAlignment="1" applyBorder="1" applyFill="1" applyFont="1" applyNumberFormat="1">
      <alignment horizontal="center" shrinkToFit="0" vertical="center" wrapText="0"/>
    </xf>
    <xf borderId="17" fillId="10" fontId="37" numFmtId="164" xfId="0" applyAlignment="1" applyBorder="1" applyFill="1" applyFont="1" applyNumberFormat="1">
      <alignment horizontal="center" shrinkToFit="0" vertical="center" wrapText="0"/>
    </xf>
    <xf borderId="17" fillId="0" fontId="22" numFmtId="169" xfId="0" applyAlignment="1" applyBorder="1" applyFont="1" applyNumberFormat="1">
      <alignment horizontal="center" readingOrder="0" shrinkToFit="0" vertical="center" wrapText="0"/>
    </xf>
    <xf borderId="17" fillId="0" fontId="36" numFmtId="0" xfId="0" applyAlignment="1" applyBorder="1" applyFont="1">
      <alignment horizontal="left" shrinkToFit="0" vertical="center" wrapText="1"/>
    </xf>
    <xf borderId="16" fillId="0" fontId="22" numFmtId="0" xfId="0" applyAlignment="1" applyBorder="1" applyFont="1">
      <alignment horizontal="center" shrinkToFit="0" vertical="center" wrapText="0"/>
    </xf>
    <xf borderId="17" fillId="0" fontId="22" numFmtId="0" xfId="0" applyAlignment="1" applyBorder="1" applyFont="1">
      <alignment horizontal="center" shrinkToFit="0" vertical="center" wrapText="0"/>
    </xf>
    <xf borderId="17" fillId="0" fontId="21" numFmtId="0" xfId="0" applyAlignment="1" applyBorder="1" applyFont="1">
      <alignment readingOrder="0" shrinkToFit="0" vertical="center" wrapText="1"/>
    </xf>
    <xf borderId="15" fillId="0" fontId="21" numFmtId="0" xfId="0" applyAlignment="1" applyBorder="1" applyFont="1">
      <alignment readingOrder="0" shrinkToFit="0" vertical="center" wrapText="1"/>
    </xf>
    <xf borderId="0" fillId="0" fontId="39" numFmtId="0" xfId="0" applyAlignment="1" applyFont="1">
      <alignment horizontal="left" readingOrder="0" shrinkToFit="0" vertical="center" wrapText="1"/>
    </xf>
    <xf borderId="0" fillId="0" fontId="40" numFmtId="0" xfId="0" applyAlignment="1" applyFont="1">
      <alignment readingOrder="0" shrinkToFit="0" vertical="center" wrapText="1"/>
    </xf>
    <xf borderId="24" fillId="0" fontId="40" numFmtId="0" xfId="0" applyAlignment="1" applyBorder="1" applyFont="1">
      <alignment readingOrder="0" shrinkToFit="0" vertical="center" wrapText="1"/>
    </xf>
    <xf borderId="2" fillId="0" fontId="23" numFmtId="0" xfId="0" applyAlignment="1" applyBorder="1" applyFont="1">
      <alignment horizontal="center" shrinkToFit="0" vertical="center" wrapText="0"/>
    </xf>
    <xf borderId="16" fillId="13" fontId="23" numFmtId="169" xfId="0" applyAlignment="1" applyBorder="1" applyFill="1" applyFont="1" applyNumberFormat="1">
      <alignment horizontal="center" readingOrder="0" shrinkToFit="0" vertical="center" wrapText="0"/>
    </xf>
    <xf borderId="17" fillId="13" fontId="23" numFmtId="169" xfId="0" applyAlignment="1" applyBorder="1" applyFill="1" applyFont="1" applyNumberFormat="1">
      <alignment horizontal="center" readingOrder="0" shrinkToFit="0" vertical="center" wrapText="0"/>
    </xf>
    <xf borderId="0" fillId="0" fontId="9" numFmtId="0" xfId="0" applyAlignment="1" applyFont="1">
      <alignment readingOrder="0"/>
    </xf>
    <xf borderId="17" fillId="13" fontId="37" numFmtId="169" xfId="0" applyAlignment="1" applyBorder="1" applyFill="1" applyFont="1" applyNumberFormat="1">
      <alignment horizontal="center" readingOrder="0" shrinkToFit="0" vertical="center" wrapText="0"/>
    </xf>
    <xf borderId="0" fillId="0" fontId="9" numFmtId="164" xfId="0" applyFont="1" applyNumberFormat="1"/>
    <xf borderId="16" fillId="13" fontId="23" numFmtId="164" xfId="0" applyAlignment="1" applyBorder="1" applyFill="1" applyFont="1" applyNumberFormat="1">
      <alignment horizontal="center" readingOrder="0" shrinkToFit="0" vertical="center" wrapText="0"/>
    </xf>
    <xf borderId="17" fillId="13" fontId="37" numFmtId="164" xfId="0" applyAlignment="1" applyBorder="1" applyFill="1" applyFont="1" applyNumberFormat="1">
      <alignment horizontal="center" shrinkToFit="0" vertical="center" wrapText="0"/>
    </xf>
    <xf borderId="0" fillId="0" fontId="9" numFmtId="164" xfId="0" applyFont="1" applyNumberFormat="1"/>
    <xf borderId="16" fillId="2" fontId="22" numFmtId="0" xfId="0" applyAlignment="1" applyBorder="1" applyFill="1" applyFont="1">
      <alignment horizontal="center" shrinkToFit="0" vertical="center" wrapText="0"/>
    </xf>
    <xf borderId="16" fillId="2" fontId="22" numFmtId="0" xfId="0" applyAlignment="1" applyBorder="1" applyFill="1" applyFont="1">
      <alignment horizontal="center" readingOrder="0" shrinkToFit="0" vertical="center" wrapText="0"/>
    </xf>
    <xf borderId="16" fillId="15" fontId="23" numFmtId="169" xfId="0" applyAlignment="1" applyBorder="1" applyFill="1" applyFont="1" applyNumberFormat="1">
      <alignment horizontal="center" readingOrder="0" shrinkToFit="0" vertical="center" wrapText="0"/>
    </xf>
    <xf borderId="17" fillId="15" fontId="23" numFmtId="169" xfId="0" applyAlignment="1" applyBorder="1" applyFill="1" applyFont="1" applyNumberFormat="1">
      <alignment horizontal="center" readingOrder="0" shrinkToFit="0" vertical="center" wrapText="0"/>
    </xf>
    <xf borderId="17" fillId="15" fontId="37" numFmtId="169" xfId="0" applyAlignment="1" applyBorder="1" applyFill="1" applyFont="1" applyNumberFormat="1">
      <alignment horizontal="center" readingOrder="0" shrinkToFit="0" vertical="center" wrapText="0"/>
    </xf>
    <xf borderId="17" fillId="15" fontId="23" numFmtId="164" xfId="0" applyAlignment="1" applyBorder="1" applyFill="1" applyFont="1" applyNumberFormat="1">
      <alignment horizontal="center" shrinkToFit="0" vertical="center" wrapText="0"/>
    </xf>
    <xf borderId="17" fillId="15" fontId="37" numFmtId="164" xfId="0" applyAlignment="1" applyBorder="1" applyFill="1" applyFont="1" applyNumberFormat="1">
      <alignment horizontal="center" shrinkToFit="0" vertical="center" wrapText="0"/>
    </xf>
    <xf borderId="2" fillId="0" fontId="23" numFmtId="164" xfId="0" applyAlignment="1" applyBorder="1" applyFont="1" applyNumberFormat="1">
      <alignment horizontal="center" readingOrder="0" shrinkToFit="0" vertical="center" wrapText="0"/>
    </xf>
    <xf borderId="2" fillId="0" fontId="9" numFmtId="0" xfId="0" applyBorder="1" applyFont="1"/>
    <xf borderId="16" fillId="0" fontId="9" numFmtId="0" xfId="0" applyBorder="1" applyFont="1"/>
    <xf borderId="12" fillId="14" fontId="19" numFmtId="0" xfId="0" applyAlignment="1" applyBorder="1" applyFill="1" applyFont="1">
      <alignment horizontal="center" readingOrder="0" shrinkToFit="0" vertical="center" wrapText="0"/>
    </xf>
    <xf borderId="11" fillId="14" fontId="19" numFmtId="0" xfId="0" applyAlignment="1" applyBorder="1" applyFill="1" applyFont="1">
      <alignment horizontal="center" readingOrder="0" shrinkToFit="0" vertical="center" wrapText="0"/>
    </xf>
    <xf borderId="12" fillId="14" fontId="20" numFmtId="0" xfId="0" applyAlignment="1" applyBorder="1" applyFill="1" applyFont="1">
      <alignment horizontal="center" readingOrder="0" shrinkToFit="0" vertical="center" wrapText="0"/>
    </xf>
    <xf borderId="11" fillId="14" fontId="20" numFmtId="0" xfId="0" applyAlignment="1" applyBorder="1" applyFill="1" applyFont="1">
      <alignment horizontal="center" readingOrder="0" shrinkToFit="0" vertical="center" wrapText="0"/>
    </xf>
    <xf borderId="17" fillId="0" fontId="21" numFmtId="0" xfId="0" applyAlignment="1" applyBorder="1" applyFont="1">
      <alignment horizontal="left" readingOrder="0" shrinkToFit="0" vertical="center" wrapText="1"/>
    </xf>
    <xf borderId="16" fillId="3" fontId="22" numFmtId="0" xfId="0" applyAlignment="1" applyBorder="1" applyFill="1" applyFont="1">
      <alignment horizontal="center" readingOrder="0" shrinkToFit="0" vertical="center" wrapText="0"/>
    </xf>
    <xf borderId="17" fillId="3" fontId="22" numFmtId="164" xfId="0" applyAlignment="1" applyBorder="1" applyFill="1" applyFont="1" applyNumberFormat="1">
      <alignment horizontal="center" readingOrder="0" shrinkToFit="0" vertical="center" wrapText="0"/>
    </xf>
    <xf borderId="16" fillId="3" fontId="23" numFmtId="0" xfId="0" applyAlignment="1" applyBorder="1" applyFill="1" applyFont="1">
      <alignment horizontal="center" readingOrder="0" shrinkToFit="0" vertical="center" wrapText="0"/>
    </xf>
    <xf borderId="0" fillId="3" fontId="23" numFmtId="0" xfId="0" applyAlignment="1" applyFill="1" applyFont="1">
      <alignment horizontal="center" shrinkToFit="0" vertical="center" wrapText="0"/>
    </xf>
    <xf borderId="17" fillId="2" fontId="22" numFmtId="164" xfId="0" applyAlignment="1" applyBorder="1" applyFill="1" applyFont="1" applyNumberFormat="1">
      <alignment horizontal="center" readingOrder="0" shrinkToFit="0" vertical="center" wrapText="0"/>
    </xf>
    <xf borderId="16" fillId="2" fontId="23" numFmtId="0" xfId="0" applyAlignment="1" applyBorder="1" applyFill="1" applyFont="1">
      <alignment horizontal="center" readingOrder="0" shrinkToFit="0" vertical="center" wrapText="0"/>
    </xf>
    <xf borderId="17" fillId="2" fontId="23" numFmtId="164" xfId="0" applyAlignment="1" applyBorder="1" applyFill="1" applyFont="1" applyNumberFormat="1">
      <alignment horizontal="center" readingOrder="0" shrinkToFit="0" vertical="center" wrapText="0"/>
    </xf>
    <xf borderId="17" fillId="3" fontId="22" numFmtId="164" xfId="0" applyAlignment="1" applyBorder="1" applyFill="1" applyFont="1" applyNumberFormat="1">
      <alignment horizontal="center" shrinkToFit="0" vertical="center" wrapText="0"/>
    </xf>
    <xf borderId="17" fillId="2" fontId="22" numFmtId="164" xfId="0" applyAlignment="1" applyBorder="1" applyFill="1" applyFont="1" applyNumberFormat="1">
      <alignment horizontal="center" shrinkToFit="0" vertical="center" wrapText="0"/>
    </xf>
    <xf borderId="16" fillId="3" fontId="23" numFmtId="0" xfId="0" applyAlignment="1" applyBorder="1" applyFill="1" applyFont="1">
      <alignment horizontal="center" shrinkToFit="0" vertical="center" wrapText="0"/>
    </xf>
    <xf borderId="31" fillId="2" fontId="23" numFmtId="164" xfId="0" applyAlignment="1" applyBorder="1" applyFill="1" applyFont="1" applyNumberFormat="1">
      <alignment horizontal="center"/>
    </xf>
    <xf borderId="31" fillId="0" fontId="9" numFmtId="0" xfId="0" applyBorder="1" applyFont="1"/>
    <xf borderId="32" fillId="0" fontId="9" numFmtId="0" xfId="0" applyBorder="1" applyFont="1"/>
    <xf borderId="31" fillId="2" fontId="23" numFmtId="0" xfId="0" applyAlignment="1" applyBorder="1" applyFill="1" applyFont="1">
      <alignment horizontal="center"/>
    </xf>
    <xf borderId="33" fillId="0" fontId="9" numFmtId="0" xfId="0" applyBorder="1" applyFont="1"/>
    <xf borderId="17" fillId="2" fontId="23" numFmtId="164" xfId="0" applyAlignment="1" applyBorder="1" applyFill="1" applyFont="1" applyNumberFormat="1">
      <alignment horizontal="center"/>
    </xf>
    <xf borderId="17" fillId="2" fontId="23" numFmtId="0" xfId="0" applyAlignment="1" applyBorder="1" applyFill="1" applyFont="1">
      <alignment horizontal="center"/>
    </xf>
    <xf borderId="17" fillId="0" fontId="27" numFmtId="164" xfId="0" applyAlignment="1" applyBorder="1" applyFont="1" applyNumberFormat="1">
      <alignment horizontal="center" readingOrder="0" shrinkToFit="0" vertical="center" wrapText="0"/>
    </xf>
    <xf borderId="34" fillId="0" fontId="27" numFmtId="164" xfId="0" applyAlignment="1" applyBorder="1" applyFont="1" applyNumberFormat="1">
      <alignment horizontal="center" readingOrder="0" shrinkToFit="0" vertical="center" wrapText="0"/>
    </xf>
    <xf borderId="19" fillId="2" fontId="28" numFmtId="0" xfId="0" applyAlignment="1" applyBorder="1" applyFill="1" applyFont="1">
      <alignment horizontal="center" readingOrder="0" shrinkToFit="0" vertical="center" wrapText="0"/>
    </xf>
    <xf borderId="17" fillId="0" fontId="41" numFmtId="0" xfId="0" applyAlignment="1" applyBorder="1" applyFont="1">
      <alignment horizontal="left" readingOrder="0" shrinkToFit="0" vertical="center" wrapText="1"/>
    </xf>
    <xf borderId="17" fillId="0" fontId="41" numFmtId="0" xfId="0" applyAlignment="1" applyBorder="1" applyFont="1">
      <alignment readingOrder="0" shrinkToFit="0" vertical="center" wrapText="1"/>
    </xf>
    <xf borderId="0" fillId="2" fontId="42" numFmtId="0" xfId="0" applyFill="1" applyFont="1"/>
    <xf borderId="0" fillId="2" fontId="43" numFmtId="0" xfId="0" applyFill="1" applyFont="1"/>
    <xf borderId="0" fillId="2" fontId="44" numFmtId="0" xfId="0" applyAlignment="1" applyFill="1" applyFont="1">
      <alignment vertical="center"/>
    </xf>
    <xf borderId="0" fillId="2" fontId="45" numFmtId="0" xfId="0" applyAlignment="1" applyFill="1" applyFont="1">
      <alignment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1" type="wholeTable"/>
      <tableStyleElement dxfId="2" type="firstRowSubheading"/>
      <tableStyleElement dxfId="2" type="secondRowSubheading"/>
      <tableStyleElement dxfId="2" type="thirdRowSubheading"/>
      <tableStyleElement dxfId="3" type="firstColumnSubheading"/>
      <tableStyleElement dxfId="3" type="secondColumnSubheading"/>
      <tableStyleElement dxfId="3" type="thirdColumnSubheading"/>
      <tableStyleElement dxfId="3" type="headerRow"/>
      <tableStyleElement dxfId="4" type="firstSubtotalRow"/>
      <tableStyleElement dxfId="4" type="secondSubtotalRow"/>
      <tableStyleElement dxfId="4" type="thirdSubtotalRow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spPr>
            <a:solidFill>
              <a:srgbClr val="B85B22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(YTD!$F$25,YTD!$U$25)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noFill/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(YTD!$G$25,YTD!$V$25)</c:f>
              <c:numCache/>
            </c:numRef>
          </c:val>
        </c:ser>
        <c:ser>
          <c:idx val="2"/>
          <c:order val="2"/>
          <c:spPr>
            <a:solidFill>
              <a:srgbClr val="F4B400"/>
            </a:solidFill>
            <a:ln cmpd="sng">
              <a:noFill/>
            </a:ln>
          </c:spPr>
          <c:val>
            <c:numRef>
              <c:f>(YTD!$H$25,YTD!$W$25)</c:f>
              <c:numCache/>
            </c:numRef>
          </c:val>
        </c:ser>
        <c:ser>
          <c:idx val="3"/>
          <c:order val="3"/>
          <c:val>
            <c:numRef>
              <c:f>(YTD!$I$25,YTD!$X$25)</c:f>
              <c:numCache/>
            </c:numRef>
          </c:val>
        </c:ser>
        <c:ser>
          <c:idx val="4"/>
          <c:order val="4"/>
          <c:val>
            <c:numRef>
              <c:f>(YTD!$J$25,YTD!$Y$25)</c:f>
              <c:numCache/>
            </c:numRef>
          </c:val>
        </c:ser>
        <c:ser>
          <c:idx val="5"/>
          <c:order val="5"/>
          <c:val>
            <c:numRef>
              <c:f>(YTD!$K$25,YTD!$Z$25)</c:f>
              <c:numCache/>
            </c:numRef>
          </c:val>
        </c:ser>
        <c:ser>
          <c:idx val="6"/>
          <c:order val="6"/>
          <c:val>
            <c:numRef>
              <c:f>(YTD!$L$25,YTD!$AA$25)</c:f>
              <c:numCache/>
            </c:numRef>
          </c:val>
        </c:ser>
        <c:ser>
          <c:idx val="7"/>
          <c:order val="7"/>
          <c:val>
            <c:numRef>
              <c:f>(YTD!$M$25,YTD!$AB$25)</c:f>
              <c:numCache/>
            </c:numRef>
          </c:val>
        </c:ser>
        <c:ser>
          <c:idx val="8"/>
          <c:order val="8"/>
          <c:val>
            <c:numRef>
              <c:f>(YTD!$N$25,YTD!$AC$25)</c:f>
              <c:numCache/>
            </c:numRef>
          </c:val>
        </c:ser>
        <c:ser>
          <c:idx val="9"/>
          <c:order val="9"/>
          <c:val>
            <c:numRef>
              <c:f>(YTD!$O$25,YTD!$AD$25)</c:f>
              <c:numCache/>
            </c:numRef>
          </c:val>
        </c:ser>
        <c:ser>
          <c:idx val="10"/>
          <c:order val="10"/>
          <c:val>
            <c:numRef>
              <c:f>(YTD!$P$25,YTD!$AE$25)</c:f>
              <c:numCache/>
            </c:numRef>
          </c:val>
        </c:ser>
        <c:overlap val="100"/>
        <c:axId val="1766330891"/>
        <c:axId val="137219014"/>
      </c:barChart>
      <c:catAx>
        <c:axId val="17663308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AAS FY22 VS YTD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7219014"/>
      </c:catAx>
      <c:valAx>
        <c:axId val="1372190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%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76633089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200">
                <a:solidFill>
                  <a:srgbClr val="000000"/>
                </a:solidFill>
                <a:latin typeface="Roboto"/>
              </a:defRPr>
            </a:pPr>
            <a:r>
              <a:rPr b="0" sz="1200">
                <a:solidFill>
                  <a:srgbClr val="000000"/>
                </a:solidFill>
                <a:latin typeface="Roboto"/>
              </a:rPr>
              <a:t>AAS Actual by Trip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'AAS Pivot Table'!$F$1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'AAS Pivot Table'!$A$2:$A$4</c:f>
            </c:strRef>
          </c:cat>
          <c:val>
            <c:numRef>
              <c:f>'AAS Pivot Table'!$F$2:$F$4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200">
                <a:solidFill>
                  <a:srgbClr val="000000"/>
                </a:solidFill>
                <a:latin typeface="Roboto"/>
              </a:defRPr>
            </a:pPr>
            <a:r>
              <a:rPr b="0" sz="1200">
                <a:solidFill>
                  <a:srgbClr val="000000"/>
                </a:solidFill>
                <a:latin typeface="Roboto"/>
              </a:rPr>
              <a:t>PPM (Sales) Actual by Trip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'PPMSales Pivot Tables'!$F$1</c:f>
            </c:strRef>
          </c:tx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'PPMSales Pivot Tables'!$A$2:$A$5</c:f>
            </c:strRef>
          </c:cat>
          <c:val>
            <c:numRef>
              <c:f>'PPMSales Pivot Tables'!$F$2:$F$5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200">
                <a:solidFill>
                  <a:srgbClr val="000000"/>
                </a:solidFill>
                <a:latin typeface="Roboto"/>
              </a:defRPr>
            </a:pPr>
            <a:r>
              <a:rPr b="0" sz="1200">
                <a:solidFill>
                  <a:srgbClr val="000000"/>
                </a:solidFill>
                <a:latin typeface="Roboto"/>
              </a:rPr>
              <a:t>PPM (U&amp;D) Actual by Trip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'PPMU&amp;D Pivot Tables'!$F$1</c:f>
            </c:strRef>
          </c:tx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'PPMU&amp;D Pivot Tables'!$A$2:$A$5</c:f>
            </c:strRef>
          </c:cat>
          <c:val>
            <c:numRef>
              <c:f>'PPMU&amp;D Pivot Tables'!$F$2:$F$5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200">
                <a:solidFill>
                  <a:srgbClr val="000000"/>
                </a:solidFill>
                <a:latin typeface="Roboto"/>
              </a:defRPr>
            </a:pPr>
            <a:r>
              <a:rPr b="0" sz="1200">
                <a:solidFill>
                  <a:srgbClr val="000000"/>
                </a:solidFill>
                <a:latin typeface="Roboto"/>
              </a:rPr>
              <a:t>RC Actual by Trip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'RCPivot Table'!$F$1</c:f>
            </c:strRef>
          </c:tx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'RCPivot Table'!$A$2:$A$4</c:f>
            </c:strRef>
          </c:cat>
          <c:val>
            <c:numRef>
              <c:f>'RCPivot Table'!$F$2:$F$4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200">
                <a:solidFill>
                  <a:srgbClr val="000000"/>
                </a:solidFill>
                <a:latin typeface="Roboto"/>
              </a:defRPr>
            </a:pPr>
            <a:r>
              <a:rPr b="0" sz="1200">
                <a:solidFill>
                  <a:srgbClr val="000000"/>
                </a:solidFill>
                <a:latin typeface="Roboto"/>
              </a:rPr>
              <a:t>CASE Actual by Trip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'CASEPivot Tables'!$F$1</c:f>
            </c:strRef>
          </c:tx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'CASEPivot Tables'!$A$2:$A$7</c:f>
            </c:strRef>
          </c:cat>
          <c:val>
            <c:numRef>
              <c:f>'CASEPivot Tables'!$F$2:$F$7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spPr>
            <a:solidFill>
              <a:srgbClr val="45818E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(YTD!$F$16,YTD!$U$16)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(YTD!$G$16,YTD!$V$16)</c:f>
              <c:numCache/>
            </c:numRef>
          </c:val>
        </c:ser>
        <c:ser>
          <c:idx val="2"/>
          <c:order val="2"/>
          <c:spPr>
            <a:solidFill>
              <a:srgbClr val="FF9900"/>
            </a:solidFill>
            <a:ln cmpd="sng">
              <a:noFill/>
            </a:ln>
          </c:spPr>
          <c:val>
            <c:numRef>
              <c:f>(YTD!$H$16,YTD!$W$16)</c:f>
              <c:numCache/>
            </c:numRef>
          </c:val>
        </c:ser>
        <c:ser>
          <c:idx val="3"/>
          <c:order val="3"/>
          <c:val>
            <c:numRef>
              <c:f>(YTD!$I$16,YTD!$X$16)</c:f>
              <c:numCache/>
            </c:numRef>
          </c:val>
        </c:ser>
        <c:ser>
          <c:idx val="4"/>
          <c:order val="4"/>
          <c:val>
            <c:numRef>
              <c:f>(YTD!$J$16,YTD!$Y$16)</c:f>
              <c:numCache/>
            </c:numRef>
          </c:val>
        </c:ser>
        <c:ser>
          <c:idx val="5"/>
          <c:order val="5"/>
          <c:val>
            <c:numRef>
              <c:f>(YTD!$K$16,YTD!$Z$16)</c:f>
              <c:numCache/>
            </c:numRef>
          </c:val>
        </c:ser>
        <c:ser>
          <c:idx val="6"/>
          <c:order val="6"/>
          <c:val>
            <c:numRef>
              <c:f>(YTD!$L$16,YTD!$AA$16)</c:f>
              <c:numCache/>
            </c:numRef>
          </c:val>
        </c:ser>
        <c:ser>
          <c:idx val="7"/>
          <c:order val="7"/>
          <c:val>
            <c:numRef>
              <c:f>(YTD!$M$16,YTD!$AB$16)</c:f>
              <c:numCache/>
            </c:numRef>
          </c:val>
        </c:ser>
        <c:ser>
          <c:idx val="8"/>
          <c:order val="8"/>
          <c:val>
            <c:numRef>
              <c:f>(YTD!$N$16,YTD!$AC$16)</c:f>
              <c:numCache/>
            </c:numRef>
          </c:val>
        </c:ser>
        <c:ser>
          <c:idx val="9"/>
          <c:order val="9"/>
          <c:val>
            <c:numRef>
              <c:f>(YTD!$O$16,YTD!$AD$16)</c:f>
              <c:numCache/>
            </c:numRef>
          </c:val>
        </c:ser>
        <c:ser>
          <c:idx val="10"/>
          <c:order val="10"/>
          <c:val>
            <c:numRef>
              <c:f>(YTD!$P$16,YTD!$AE$16)</c:f>
              <c:numCache/>
            </c:numRef>
          </c:val>
        </c:ser>
        <c:overlap val="100"/>
        <c:axId val="706401047"/>
        <c:axId val="989433446"/>
      </c:barChart>
      <c:catAx>
        <c:axId val="706401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CASE FY22 VS YTD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89433446"/>
      </c:catAx>
      <c:valAx>
        <c:axId val="9894334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%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706401047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spPr>
            <a:solidFill>
              <a:srgbClr val="0B539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(YTD!$F$7,YTD!$U$7)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(YTD!$G$7,YTD!$V$7)</c:f>
              <c:numCache/>
            </c:numRef>
          </c:val>
        </c:ser>
        <c:ser>
          <c:idx val="2"/>
          <c:order val="2"/>
          <c:spPr>
            <a:solidFill>
              <a:srgbClr val="FF9900"/>
            </a:solidFill>
            <a:ln cmpd="sng">
              <a:noFill/>
            </a:ln>
          </c:spPr>
          <c:val>
            <c:numRef>
              <c:f>(YTD!$H$7,YTD!$W$7)</c:f>
              <c:numCache/>
            </c:numRef>
          </c:val>
        </c:ser>
        <c:ser>
          <c:idx val="3"/>
          <c:order val="3"/>
          <c:val>
            <c:numRef>
              <c:f>(YTD!$I$7,YTD!$X$7)</c:f>
              <c:numCache/>
            </c:numRef>
          </c:val>
        </c:ser>
        <c:ser>
          <c:idx val="4"/>
          <c:order val="4"/>
          <c:val>
            <c:numRef>
              <c:f>(YTD!$J$7,YTD!$Y$7)</c:f>
              <c:numCache/>
            </c:numRef>
          </c:val>
        </c:ser>
        <c:ser>
          <c:idx val="5"/>
          <c:order val="5"/>
          <c:val>
            <c:numRef>
              <c:f>(YTD!$K$7,YTD!$Z$7)</c:f>
              <c:numCache/>
            </c:numRef>
          </c:val>
        </c:ser>
        <c:ser>
          <c:idx val="6"/>
          <c:order val="6"/>
          <c:val>
            <c:numRef>
              <c:f>(YTD!$L$7,YTD!$AA$7)</c:f>
              <c:numCache/>
            </c:numRef>
          </c:val>
        </c:ser>
        <c:ser>
          <c:idx val="7"/>
          <c:order val="7"/>
          <c:val>
            <c:numRef>
              <c:f>(YTD!$M$7,YTD!$AB$7)</c:f>
              <c:numCache/>
            </c:numRef>
          </c:val>
        </c:ser>
        <c:ser>
          <c:idx val="8"/>
          <c:order val="8"/>
          <c:val>
            <c:numRef>
              <c:f>(YTD!$N$7,YTD!$AC$7)</c:f>
              <c:numCache/>
            </c:numRef>
          </c:val>
        </c:ser>
        <c:ser>
          <c:idx val="9"/>
          <c:order val="9"/>
          <c:val>
            <c:numRef>
              <c:f>(YTD!$O$7,YTD!$AD$7)</c:f>
              <c:numCache/>
            </c:numRef>
          </c:val>
        </c:ser>
        <c:ser>
          <c:idx val="10"/>
          <c:order val="10"/>
          <c:val>
            <c:numRef>
              <c:f>(YTD!$P$7,YTD!$AE$7)</c:f>
              <c:numCache/>
            </c:numRef>
          </c:val>
        </c:ser>
        <c:overlap val="100"/>
        <c:axId val="1029167330"/>
        <c:axId val="1168316986"/>
      </c:barChart>
      <c:catAx>
        <c:axId val="1029167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RC FY22 VS YTD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68316986"/>
      </c:catAx>
      <c:valAx>
        <c:axId val="11683169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%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029167330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spPr>
            <a:solidFill>
              <a:srgbClr val="134F5C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(YTD!$F$34,YTD!$U$34)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(YTD!$G$34,YTD!$V$34)</c:f>
              <c:numCache/>
            </c:numRef>
          </c:val>
        </c:ser>
        <c:ser>
          <c:idx val="2"/>
          <c:order val="2"/>
          <c:spPr>
            <a:solidFill>
              <a:srgbClr val="FF9900"/>
            </a:solidFill>
            <a:ln cmpd="sng">
              <a:noFill/>
            </a:ln>
          </c:spPr>
          <c:val>
            <c:numRef>
              <c:f>(YTD!$H$34,YTD!$W$34)</c:f>
              <c:numCache/>
            </c:numRef>
          </c:val>
        </c:ser>
        <c:ser>
          <c:idx val="3"/>
          <c:order val="3"/>
          <c:val>
            <c:numRef>
              <c:f>(YTD!$I$34,YTD!$X$34)</c:f>
              <c:numCache/>
            </c:numRef>
          </c:val>
        </c:ser>
        <c:ser>
          <c:idx val="4"/>
          <c:order val="4"/>
          <c:val>
            <c:numRef>
              <c:f>(YTD!$J$34,YTD!$Y$34)</c:f>
              <c:numCache/>
            </c:numRef>
          </c:val>
        </c:ser>
        <c:ser>
          <c:idx val="5"/>
          <c:order val="5"/>
          <c:val>
            <c:numRef>
              <c:f>(YTD!$K$34,YTD!$Z$34)</c:f>
              <c:numCache/>
            </c:numRef>
          </c:val>
        </c:ser>
        <c:ser>
          <c:idx val="6"/>
          <c:order val="6"/>
          <c:val>
            <c:numRef>
              <c:f>(YTD!$L$34,YTD!$AA$34)</c:f>
              <c:numCache/>
            </c:numRef>
          </c:val>
        </c:ser>
        <c:ser>
          <c:idx val="7"/>
          <c:order val="7"/>
          <c:val>
            <c:numRef>
              <c:f>(YTD!$M$34,YTD!$AB$34)</c:f>
              <c:numCache/>
            </c:numRef>
          </c:val>
        </c:ser>
        <c:ser>
          <c:idx val="8"/>
          <c:order val="8"/>
          <c:val>
            <c:numRef>
              <c:f>(YTD!$N$34,YTD!$AC$34)</c:f>
              <c:numCache/>
            </c:numRef>
          </c:val>
        </c:ser>
        <c:ser>
          <c:idx val="9"/>
          <c:order val="9"/>
          <c:val>
            <c:numRef>
              <c:f>(YTD!$O$34,YTD!$AD$34)</c:f>
              <c:numCache/>
            </c:numRef>
          </c:val>
        </c:ser>
        <c:ser>
          <c:idx val="10"/>
          <c:order val="10"/>
          <c:val>
            <c:numRef>
              <c:f>(YTD!$P$34,YTD!$AE$34)</c:f>
              <c:numCache/>
            </c:numRef>
          </c:val>
        </c:ser>
        <c:overlap val="100"/>
        <c:axId val="1307817178"/>
        <c:axId val="2103145014"/>
      </c:barChart>
      <c:catAx>
        <c:axId val="13078171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PPM(Sales) FY22 VS YTD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03145014"/>
      </c:catAx>
      <c:valAx>
        <c:axId val="21031450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%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307817178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spPr>
            <a:solidFill>
              <a:srgbClr val="134F5C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(YTD!$F$42,YTD!$U$42)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(YTD!$G$42,YTD!$V$42)</c:f>
              <c:numCache/>
            </c:numRef>
          </c:val>
        </c:ser>
        <c:ser>
          <c:idx val="2"/>
          <c:order val="2"/>
          <c:spPr>
            <a:solidFill>
              <a:srgbClr val="FF9900"/>
            </a:solidFill>
            <a:ln cmpd="sng">
              <a:noFill/>
            </a:ln>
          </c:spPr>
          <c:val>
            <c:numRef>
              <c:f>(YTD!$H$42,YTD!$W$42)</c:f>
              <c:numCache/>
            </c:numRef>
          </c:val>
        </c:ser>
        <c:ser>
          <c:idx val="3"/>
          <c:order val="3"/>
          <c:val>
            <c:numRef>
              <c:f>(YTD!$I$42,YTD!$X$42)</c:f>
              <c:numCache/>
            </c:numRef>
          </c:val>
        </c:ser>
        <c:ser>
          <c:idx val="4"/>
          <c:order val="4"/>
          <c:val>
            <c:numRef>
              <c:f>(YTD!$J$42,YTD!$Y$42)</c:f>
              <c:numCache/>
            </c:numRef>
          </c:val>
        </c:ser>
        <c:ser>
          <c:idx val="5"/>
          <c:order val="5"/>
          <c:val>
            <c:numRef>
              <c:f>(YTD!$K$42,YTD!$Z$42)</c:f>
              <c:numCache/>
            </c:numRef>
          </c:val>
        </c:ser>
        <c:ser>
          <c:idx val="6"/>
          <c:order val="6"/>
          <c:val>
            <c:numRef>
              <c:f>(YTD!$L$42,YTD!$AA$42)</c:f>
              <c:numCache/>
            </c:numRef>
          </c:val>
        </c:ser>
        <c:ser>
          <c:idx val="7"/>
          <c:order val="7"/>
          <c:val>
            <c:numRef>
              <c:f>(YTD!$M$42,YTD!$AB$42)</c:f>
              <c:numCache/>
            </c:numRef>
          </c:val>
        </c:ser>
        <c:ser>
          <c:idx val="8"/>
          <c:order val="8"/>
          <c:val>
            <c:numRef>
              <c:f>(YTD!$N$42,YTD!$AC$42)</c:f>
              <c:numCache/>
            </c:numRef>
          </c:val>
        </c:ser>
        <c:ser>
          <c:idx val="9"/>
          <c:order val="9"/>
          <c:val>
            <c:numRef>
              <c:f>(YTD!$O$42,YTD!$AD$42)</c:f>
              <c:numCache/>
            </c:numRef>
          </c:val>
        </c:ser>
        <c:ser>
          <c:idx val="10"/>
          <c:order val="10"/>
          <c:val>
            <c:numRef>
              <c:f>(YTD!$P$42,YTD!$AE$42)</c:f>
              <c:numCache/>
            </c:numRef>
          </c:val>
        </c:ser>
        <c:overlap val="100"/>
        <c:axId val="1839712904"/>
        <c:axId val="827633724"/>
      </c:barChart>
      <c:catAx>
        <c:axId val="1839712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PPM(U&amp;D) FY22 VS YTD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27633724"/>
      </c:catAx>
      <c:valAx>
        <c:axId val="8276337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%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839712904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FY23 FAS Actual Trips by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10'!$F$1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AB30C4"/>
              </a:solidFill>
            </c:spPr>
          </c:dPt>
          <c:dPt>
            <c:idx val="7"/>
            <c:spPr>
              <a:solidFill>
                <a:srgbClr val="C1BC1F"/>
              </a:solidFill>
            </c:spPr>
          </c:dPt>
          <c:dPt>
            <c:idx val="8"/>
            <c:spPr>
              <a:solidFill>
                <a:srgbClr val="3949AB"/>
              </a:solidFill>
            </c:spPr>
          </c:dPt>
          <c:dPt>
            <c:idx val="9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10'!$A$2:$A$11</c:f>
            </c:strRef>
          </c:cat>
          <c:val>
            <c:numRef>
              <c:f>'Pivot Table 10'!$F$2:$F$11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FY20 FAS Actual Trips by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10'!$F$1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AB30C4"/>
              </a:solidFill>
            </c:spPr>
          </c:dPt>
          <c:dPt>
            <c:idx val="7"/>
            <c:spPr>
              <a:solidFill>
                <a:srgbClr val="C1BC1F"/>
              </a:solidFill>
            </c:spPr>
          </c:dPt>
          <c:dPt>
            <c:idx val="8"/>
            <c:spPr>
              <a:solidFill>
                <a:srgbClr val="3949AB"/>
              </a:solidFill>
            </c:spPr>
          </c:dPt>
          <c:dPt>
            <c:idx val="9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10'!$A$2:$A$11</c:f>
            </c:strRef>
          </c:cat>
          <c:val>
            <c:numRef>
              <c:f>'Pivot Table 10'!$F$2:$F$11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FY20 RC Actual by Trip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'RCPivot Table'!$F$1</c:f>
            </c:strRef>
          </c:tx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'RCPivot Table'!$A$2:$A$4</c:f>
            </c:strRef>
          </c:cat>
          <c:val>
            <c:numRef>
              <c:f>'RCPivot Table'!$F$2:$F$4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FY20 CASE Actual by Trip Type</a:t>
            </a:r>
          </a:p>
        </c:rich>
      </c:tx>
      <c:overlay val="0"/>
    </c:title>
    <c:plotArea>
      <c:layout>
        <c:manualLayout>
          <c:xMode val="edge"/>
          <c:yMode val="edge"/>
          <c:x val="0.030916666666666686"/>
          <c:y val="0.1833735563026599"/>
          <c:w val="0.8849166666666668"/>
          <c:h val="0.76662644369734"/>
        </c:manualLayout>
      </c:layout>
      <c:pieChart>
        <c:varyColors val="1"/>
        <c:ser>
          <c:idx val="0"/>
          <c:order val="0"/>
          <c:tx>
            <c:strRef>
              <c:f>'CASEPivot Tables'!$F$1</c:f>
            </c:strRef>
          </c:tx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Pt>
            <c:idx val="6"/>
            <c:spPr>
              <a:solidFill>
                <a:srgbClr val="DD4477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'CASEPivot Tables'!$A$2:$A$8</c:f>
            </c:strRef>
          </c:cat>
          <c:val>
            <c:numRef>
              <c:f>'CASEPivot Tables'!$F$2:$F$8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FY20 AAS Actual by Trip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'AAS Pivot Table'!$F$1</c:f>
            </c:strRef>
          </c:tx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'AAS Pivot Table'!$A$2:$A$4</c:f>
            </c:strRef>
          </c:cat>
          <c:val>
            <c:numRef>
              <c:f>'AAS Pivot Table'!$F$2:$F$4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FY20 PPM (Sales) Actual Trip by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'PPMSales Pivot Tables'!$F$1</c:f>
            </c:strRef>
          </c:tx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'PPMSales Pivot Tables'!$A$2:$A$5</c:f>
            </c:strRef>
          </c:cat>
          <c:val>
            <c:numRef>
              <c:f>'PPMSales Pivot Tables'!$F$2:$F$5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FY20 PPM(U&amp;D) Actual by Trip Type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'PPMU&amp;D Pivot Tables'!$F$1</c:f>
            </c:strRef>
          </c:tx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DC3912"/>
              </a:solidFill>
            </c:spPr>
          </c:dPt>
          <c:dPt>
            <c:idx val="2"/>
            <c:spPr>
              <a:solidFill>
                <a:srgbClr val="FF9900"/>
              </a:solidFill>
            </c:spPr>
          </c:dPt>
          <c:dPt>
            <c:idx val="3"/>
            <c:spPr>
              <a:solidFill>
                <a:srgbClr val="109618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'PPMU&amp;D Pivot Tables'!$A$2:$A$5</c:f>
            </c:strRef>
          </c:cat>
          <c:val>
            <c:numRef>
              <c:f>'PPMU&amp;D Pivot Tables'!$F$2:$F$5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28575</xdr:colOff>
      <xdr:row>23</xdr:row>
      <xdr:rowOff>247650</xdr:rowOff>
    </xdr:from>
    <xdr:ext cx="3352800" cy="20669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50</xdr:col>
      <xdr:colOff>66675</xdr:colOff>
      <xdr:row>24</xdr:row>
      <xdr:rowOff>19050</xdr:rowOff>
    </xdr:from>
    <xdr:ext cx="3352800" cy="20669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50</xdr:col>
      <xdr:colOff>76200</xdr:colOff>
      <xdr:row>33</xdr:row>
      <xdr:rowOff>0</xdr:rowOff>
    </xdr:from>
    <xdr:ext cx="3333750" cy="20574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50</xdr:col>
      <xdr:colOff>66675</xdr:colOff>
      <xdr:row>41</xdr:row>
      <xdr:rowOff>19050</xdr:rowOff>
    </xdr:from>
    <xdr:ext cx="3343275" cy="20669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50</xdr:col>
      <xdr:colOff>38100</xdr:colOff>
      <xdr:row>6</xdr:row>
      <xdr:rowOff>9525</xdr:rowOff>
    </xdr:from>
    <xdr:ext cx="3343275" cy="20669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50</xdr:col>
      <xdr:colOff>57150</xdr:colOff>
      <xdr:row>15</xdr:row>
      <xdr:rowOff>9525</xdr:rowOff>
    </xdr:from>
    <xdr:ext cx="3362325" cy="20764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36</xdr:col>
      <xdr:colOff>0</xdr:colOff>
      <xdr:row>15</xdr:row>
      <xdr:rowOff>0</xdr:rowOff>
    </xdr:from>
    <xdr:ext cx="3343275" cy="20574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35</xdr:col>
      <xdr:colOff>247650</xdr:colOff>
      <xdr:row>6</xdr:row>
      <xdr:rowOff>76200</xdr:rowOff>
    </xdr:from>
    <xdr:ext cx="3352800" cy="20669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36</xdr:col>
      <xdr:colOff>28575</xdr:colOff>
      <xdr:row>32</xdr:row>
      <xdr:rowOff>247650</xdr:rowOff>
    </xdr:from>
    <xdr:ext cx="3343275" cy="20669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36</xdr:col>
      <xdr:colOff>0</xdr:colOff>
      <xdr:row>41</xdr:row>
      <xdr:rowOff>47625</xdr:rowOff>
    </xdr:from>
    <xdr:ext cx="3400425" cy="20288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0</xdr:colOff>
      <xdr:row>11</xdr:row>
      <xdr:rowOff>200025</xdr:rowOff>
    </xdr:from>
    <xdr:ext cx="5248275" cy="32480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9</xdr:row>
      <xdr:rowOff>152400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171450</xdr:colOff>
      <xdr:row>2</xdr:row>
      <xdr:rowOff>1257300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171450</xdr:colOff>
      <xdr:row>3</xdr:row>
      <xdr:rowOff>1304925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171450</xdr:colOff>
      <xdr:row>2</xdr:row>
      <xdr:rowOff>1257300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533400</xdr:colOff>
      <xdr:row>2</xdr:row>
      <xdr:rowOff>1343025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819150</xdr:colOff>
      <xdr:row>8</xdr:row>
      <xdr:rowOff>9525</xdr:rowOff>
    </xdr:from>
    <xdr:ext cx="6076950" cy="375285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K53" sheet="RC"/>
  </cacheSource>
  <cacheFields>
    <cacheField name=" " numFmtId="0">
      <sharedItems containsString="0" containsBlank="1">
        <m/>
      </sharedItems>
    </cacheField>
    <cacheField name=" 2" numFmtId="0">
      <sharedItems containsBlank="1">
        <s v="FY23 RC Travel"/>
        <m/>
        <s v="9Q - 285X-09-RC20-Q0900000"/>
        <s v="Casey Kelley"/>
        <s v="Jacqueline Sullo"/>
        <s v="William Villarroel"/>
        <s v="Christina Bowman"/>
        <s v="Diana Fiesco-Bugarini"/>
        <s v="MISCELLANEOUS"/>
        <s v="Casey Kelley "/>
      </sharedItems>
    </cacheField>
    <cacheField name=" 3" numFmtId="0">
      <sharedItems containsBlank="1">
        <m/>
        <s v="Event Title"/>
        <s v="Internal Management Meeting"/>
        <s v="AAS Directors Meeting "/>
        <s v="FAS R9 Leadership Offsite Meeting"/>
        <s v="FAS Leadership Council Meet"/>
        <s v="FAS R9 COS Interviews"/>
        <s v="AAS Core Realignment Meeting"/>
        <s v="Leadership Council Meet"/>
        <s v="QTRLY F4 Meeting"/>
        <s v="CASE Leadership/Staff Meet"/>
        <s v="AAS &amp; Front Line Leader Meet"/>
        <s v="Asia Trip "/>
        <s v="CANCELLED: (See below) Leadership Council Meet"/>
        <s v="SWRMC at Naval Base Mileage"/>
        <s v="2023 Government Contract Pricing Summit Mileage &amp; Parking"/>
        <s v="PPM Divisional Team Bldg Offsite "/>
        <s v="Senior Leadership Meeting"/>
        <s v="AAS, PBS, and CASE NAMs Meeting Mileage &amp; Parking"/>
        <s v="Leadership Offboarding and Transition"/>
        <s v="APEX 2 Offsite Events"/>
        <s v="CASE Leadership Meeting"/>
        <s v="FAS AAS Leadership &amp; NAVWAR Meetings"/>
        <s v="50 UNP Office Cleanout Final Walkthrough"/>
        <s v="Event Title/Desc"/>
        <s v="Professional Liablity Insurance 2023"/>
      </sharedItems>
    </cacheField>
    <cacheField name=" 4">
      <sharedItems containsDate="1" containsBlank="1" containsMixedTypes="1">
        <m/>
        <s v="Travel Dates"/>
        <d v="2022-09-26T00:00:00Z"/>
        <d v="2022-10-17T00:00:00Z"/>
        <d v="2022-11-07T00:00:00Z"/>
        <d v="2022-12-05T00:00:00Z"/>
        <d v="2022-12-19T00:00:00Z"/>
        <d v="2022-12-21T00:00:00Z"/>
        <d v="2023-01-17T00:00:00Z"/>
        <d v="2023-02-21T00:00:00Z"/>
        <d v="2023-03-13T00:00:00Z"/>
        <d v="2023-03-20T00:00:00Z"/>
        <d v="2023-04-17T00:00:00Z"/>
        <d v="2023-04-10T00:00:00Z"/>
        <d v="2023-05-01T00:00:00Z"/>
        <d v="2023-06-12T00:00:00Z"/>
        <d v="2023-05-10T00:00:00Z"/>
        <d v="2023-06-20T00:00:00Z"/>
        <d v="2023-08-14T00:00:00Z"/>
        <d v="2023-08-21T00:00:00Z"/>
        <d v="2023-07-18T00:00:00Z"/>
        <d v="2023-09-26T00:00:00Z"/>
        <d v="2023-09-11T00:00:00Z"/>
        <d v="2023-09-18T00:00:00Z"/>
        <d v="2023-09-29T00:00:00Z"/>
        <s v="Servc/Payment Date"/>
      </sharedItems>
    </cacheField>
    <cacheField name=" 5" numFmtId="0">
      <sharedItems containsDate="1" containsString="0" containsBlank="1">
        <m/>
        <d v="2022-09-27T00:00:00Z"/>
        <d v="2022-10-20T00:00:00Z"/>
        <d v="2022-11-10T00:00:00Z"/>
        <d v="2022-12-09T00:00:00Z"/>
        <d v="2022-12-20T00:00:00Z"/>
        <d v="2022-12-22T00:00:00Z"/>
        <d v="2023-01-20T00:00:00Z"/>
        <d v="2023-02-24T00:00:00Z"/>
        <d v="2023-03-16T00:00:00Z"/>
        <d v="2023-03-23T00:00:00Z"/>
        <d v="2023-04-21T00:00:00Z"/>
        <d v="2023-04-22T00:00:00Z"/>
        <d v="2023-05-04T00:00:00Z"/>
        <d v="2023-05-05T00:00:00Z"/>
        <d v="2023-06-16T00:00:00Z"/>
        <d v="2023-06-19T00:00:00Z"/>
        <d v="2023-05-10T00:00:00Z"/>
        <d v="2023-06-22T00:00:00Z"/>
        <d v="2023-08-16T00:00:00Z"/>
        <d v="2023-08-25T00:00:00Z"/>
        <d v="2023-07-18T00:00:00Z"/>
        <d v="2023-09-27T00:00:00Z"/>
        <d v="2023-09-15T00:00:00Z"/>
        <d v="2023-09-22T00:00:00Z"/>
        <d v="2023-09-13T00:00:00Z"/>
        <d v="2023-07-20T00:00:00Z"/>
        <d v="2023-09-29T00:00:00Z"/>
      </sharedItems>
    </cacheField>
    <cacheField name=" 6" numFmtId="0">
      <sharedItems containsBlank="1">
        <m/>
        <s v="Location"/>
        <s v="San Francisco, CA "/>
        <s v="Denver, CO"/>
        <s v="San Diego, CA "/>
        <s v="Washington, DC "/>
        <s v="Atlanta, GA "/>
        <s v="Philadelphia, PA"/>
        <s v="Japan &amp; Korea"/>
        <s v="Phoenix, AZ "/>
        <s v="Portland, OR"/>
        <s v="Tacoma, WA"/>
        <s v="Fort Worth TX and Warner Robins GA "/>
        <s v="Honolulu, HI"/>
        <s v="Forth Worth, TX "/>
        <s v="N/A"/>
      </sharedItems>
    </cacheField>
    <cacheField name=" 7" numFmtId="0">
      <sharedItems containsBlank="1">
        <m/>
        <s v="Targeted &#10;Audience"/>
        <s v="Internal Mtng "/>
        <s v="Leadership"/>
        <s v="Foreign"/>
        <s v="Customer"/>
        <s v="Leadership "/>
        <s v="N/A"/>
      </sharedItems>
    </cacheField>
    <cacheField name=" 8" numFmtId="0">
      <sharedItems containsBlank="1">
        <m/>
        <s v="Trip &#10;Type"/>
        <s v="D03"/>
        <s v="D02"/>
        <s v="D01"/>
        <s v="D40"/>
        <s v="D04"/>
        <s v="Sub Obj Code"/>
        <s v="B04"/>
      </sharedItems>
    </cacheField>
    <cacheField name=" 9">
      <sharedItems containsBlank="1" containsMixedTypes="1" containsNumber="1">
        <m/>
        <s v="1ST QUARTER"/>
        <s v="ESTIMATE"/>
        <n v="628.62"/>
        <n v="1333.38"/>
        <n v="1116.88"/>
        <n v="1063.57"/>
        <n v="2046.95"/>
        <n v="604.37"/>
        <n v="594.87"/>
        <s v="-"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>
      <sharedItems containsBlank="1" containsMixedTypes="1" containsNumber="1">
        <m/>
        <s v="ACTUALS"/>
        <n v="838.4"/>
        <n v="1288.08"/>
        <n v="1109.87"/>
        <n v="1023.96"/>
        <n v="2230.27"/>
        <n v="744.2"/>
        <n v="573.15"/>
        <n v="156.8"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>
      <sharedItems containsBlank="1" containsMixedTypes="1" containsNumber="1">
        <m/>
        <s v="2ND QTR"/>
        <s v="ESTIMATE"/>
        <n v="1359.13"/>
        <n v="1433.68"/>
        <n v="1451.39"/>
        <n v="1629.9"/>
        <n v="1665.98"/>
      </sharedItems>
    </cacheField>
    <cacheField name=" 20" numFmtId="0">
      <sharedItems containsString="0" containsBlank="1">
        <m/>
      </sharedItems>
    </cacheField>
    <cacheField name=" 21" numFmtId="0">
      <sharedItems containsString="0" containsBlank="1">
        <m/>
      </sharedItems>
    </cacheField>
    <cacheField name=" 22" numFmtId="0">
      <sharedItems containsString="0" containsBlank="1">
        <m/>
      </sharedItems>
    </cacheField>
    <cacheField name=" 23" numFmtId="0">
      <sharedItems containsString="0" containsBlank="1">
        <m/>
      </sharedItems>
    </cacheField>
    <cacheField name=" 24">
      <sharedItems containsBlank="1" containsMixedTypes="1" containsNumber="1">
        <m/>
        <s v="ACTUALS"/>
        <n v="1559.09"/>
        <n v="1640.99"/>
        <n v="1559.73"/>
        <n v="1760.93"/>
        <n v="1620.96"/>
      </sharedItems>
    </cacheField>
    <cacheField name=" 25" numFmtId="0">
      <sharedItems containsString="0" containsBlank="1">
        <m/>
      </sharedItems>
    </cacheField>
    <cacheField name=" 26" numFmtId="0">
      <sharedItems containsString="0" containsBlank="1">
        <m/>
      </sharedItems>
    </cacheField>
    <cacheField name=" 27" numFmtId="0">
      <sharedItems containsString="0" containsBlank="1">
        <m/>
      </sharedItems>
    </cacheField>
    <cacheField name=" 28" numFmtId="0">
      <sharedItems containsString="0" containsBlank="1">
        <m/>
      </sharedItems>
    </cacheField>
    <cacheField name=" 29">
      <sharedItems containsBlank="1" containsMixedTypes="1" containsNumber="1">
        <m/>
        <s v="3RD QTR"/>
        <s v="ESTIMATE"/>
        <n v="1853.62"/>
        <n v="8031.74"/>
        <n v="1057.67"/>
        <n v="1114.39"/>
        <n v="1245.38"/>
        <n v="1194.39"/>
        <n v="2279.61"/>
        <n v="3349.4"/>
        <s v="-"/>
      </sharedItems>
    </cacheField>
    <cacheField name=" 30" numFmtId="0">
      <sharedItems containsString="0" containsBlank="1">
        <m/>
      </sharedItems>
    </cacheField>
    <cacheField name=" 31" numFmtId="0">
      <sharedItems containsString="0" containsBlank="1">
        <m/>
      </sharedItems>
    </cacheField>
    <cacheField name=" 32" numFmtId="0">
      <sharedItems containsString="0" containsBlank="1">
        <m/>
      </sharedItems>
    </cacheField>
    <cacheField name=" 33" numFmtId="0">
      <sharedItems containsString="0" containsBlank="1">
        <m/>
      </sharedItems>
    </cacheField>
    <cacheField name=" 34">
      <sharedItems containsBlank="1" containsMixedTypes="1" containsNumber="1">
        <m/>
        <s v="ACTUALS"/>
        <n v="1961.38"/>
        <n v="8229.14"/>
        <n v="1094.75"/>
        <n v="1111.06"/>
        <n v="1092.65"/>
        <n v="1109.87"/>
        <s v="-"/>
        <n v="3075.17"/>
        <n v="23.83"/>
        <n v="260.88"/>
        <n v="176.82"/>
      </sharedItems>
    </cacheField>
    <cacheField name=" 35" numFmtId="0">
      <sharedItems containsString="0" containsBlank="1">
        <m/>
      </sharedItems>
    </cacheField>
    <cacheField name=" 36" numFmtId="0">
      <sharedItems containsString="0" containsBlank="1">
        <m/>
      </sharedItems>
    </cacheField>
    <cacheField name=" 37" numFmtId="0">
      <sharedItems containsString="0" containsBlank="1">
        <m/>
      </sharedItems>
    </cacheField>
    <cacheField name=" 38" numFmtId="0">
      <sharedItems containsString="0" containsBlank="1">
        <m/>
      </sharedItems>
    </cacheField>
    <cacheField name=" 39">
      <sharedItems containsBlank="1" containsMixedTypes="1" containsNumber="1">
        <m/>
        <s v="4TH QTR"/>
        <s v="ESTIMATE"/>
        <n v="1245.25"/>
        <n v="1289.27"/>
        <s v="-"/>
        <n v="729.27"/>
        <n v="739.27"/>
        <n v="1402.4"/>
        <n v="1721.29"/>
        <n v="2607.47"/>
        <n v="942.08"/>
      </sharedItems>
    </cacheField>
    <cacheField name=" 40" numFmtId="0">
      <sharedItems containsString="0" containsBlank="1">
        <m/>
      </sharedItems>
    </cacheField>
    <cacheField name=" 41" numFmtId="0">
      <sharedItems containsString="0" containsBlank="1">
        <m/>
      </sharedItems>
    </cacheField>
    <cacheField name=" 42" numFmtId="0">
      <sharedItems containsString="0" containsBlank="1">
        <m/>
      </sharedItems>
    </cacheField>
    <cacheField name=" 43" numFmtId="0">
      <sharedItems containsString="0" containsBlank="1">
        <m/>
      </sharedItems>
    </cacheField>
    <cacheField name=" 44">
      <sharedItems containsBlank="1" containsMixedTypes="1" containsNumber="1">
        <m/>
        <s v="ACTUALS"/>
        <n v="1324.47"/>
        <n v="1225.26"/>
        <n v="51.83"/>
        <n v="784.24"/>
        <n v="761.12"/>
        <n v="1596.68"/>
        <n v="1838.03"/>
        <n v="2657.72"/>
        <n v="1109.44"/>
        <n v="85.4"/>
        <n v="81.16"/>
      </sharedItems>
    </cacheField>
    <cacheField name=" 45" numFmtId="0">
      <sharedItems containsString="0" containsBlank="1">
        <m/>
      </sharedItems>
    </cacheField>
    <cacheField name=" 46" numFmtId="0">
      <sharedItems containsString="0" containsBlank="1">
        <m/>
      </sharedItems>
    </cacheField>
    <cacheField name=" 47" numFmtId="0">
      <sharedItems containsString="0" containsBlank="1">
        <m/>
      </sharedItems>
    </cacheField>
    <cacheField name=" 48" numFmtId="0">
      <sharedItems containsString="0" containsBlank="1">
        <m/>
      </sharedItems>
    </cacheField>
    <cacheField name=" 49">
      <sharedItems containsBlank="1" containsMixedTypes="1" containsNumber="1" containsInteger="1">
        <m/>
        <s v="FY 23 TOTAL"/>
        <s v="PLANNED"/>
        <n v="93000.0"/>
        <s v="MISC "/>
      </sharedItems>
    </cacheField>
    <cacheField name=" 50" numFmtId="0">
      <sharedItems containsString="0" containsBlank="1">
        <m/>
      </sharedItems>
    </cacheField>
    <cacheField name=" 51" numFmtId="0">
      <sharedItems containsString="0" containsBlank="1">
        <m/>
      </sharedItems>
    </cacheField>
    <cacheField name=" 52" numFmtId="0">
      <sharedItems containsString="0" containsBlank="1">
        <m/>
      </sharedItems>
    </cacheField>
    <cacheField name=" 53" numFmtId="0">
      <sharedItems containsString="0" containsBlank="1">
        <m/>
      </sharedItems>
    </cacheField>
    <cacheField name=" 54">
      <sharedItems containsBlank="1" containsMixedTypes="1" containsNumber="1">
        <m/>
        <s v="ACTUALS"/>
        <n v="45600.53"/>
        <n v="7807.929999999999"/>
        <n v="8141.7"/>
        <n v="18135.55"/>
        <n v="11515.35"/>
        <n v="156.8"/>
        <n v="0.0"/>
      </sharedItems>
    </cacheField>
    <cacheField name=" 55" numFmtId="0">
      <sharedItems containsString="0" containsBlank="1">
        <m/>
      </sharedItems>
    </cacheField>
    <cacheField name=" 56" numFmtId="0">
      <sharedItems containsString="0" containsBlank="1">
        <m/>
      </sharedItems>
    </cacheField>
    <cacheField name=" 57" numFmtId="0">
      <sharedItems containsString="0" containsBlank="1">
        <m/>
      </sharedItems>
    </cacheField>
    <cacheField name=" 58" numFmtId="0">
      <sharedItems containsString="0" containsBlank="1">
        <m/>
      </sharedItems>
    </cacheField>
    <cacheField name=" 59">
      <sharedItems containsBlank="1" containsMixedTypes="1" containsNumber="1">
        <m/>
        <s v="BALANCE"/>
        <n v="47399.47"/>
        <s v="1ST QTR"/>
        <s v="2ND QTR"/>
        <s v="3RD QTR"/>
        <s v="4TH QTR"/>
      </sharedItems>
    </cacheField>
    <cacheField name=" 60" numFmtId="0">
      <sharedItems containsString="0" containsBlank="1">
        <m/>
      </sharedItems>
    </cacheField>
    <cacheField name=" 61" numFmtId="0">
      <sharedItems containsString="0" containsBlank="1">
        <m/>
      </sharedItems>
    </cacheField>
    <cacheField name=" 62" numFmtId="0">
      <sharedItems containsString="0" containsBlank="1">
        <m/>
      </sharedItems>
    </cacheField>
    <cacheField name=" 63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CPivot Table" cacheId="0" dataCaption="" compact="0" compactData="0">
  <location ref="A1:E5" firstHeaderRow="0" firstDataRow="2" firstDataCol="0"/>
  <pivotFields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 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 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 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 7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rip Type" axis="axisRow" compact="0" outline="0" multipleItemSelectionAllowed="1" showAll="0" sortType="ascending">
      <items>
        <item h="1" x="0"/>
        <item h="1" x="8"/>
        <item h="1" x="4"/>
        <item x="3"/>
        <item x="2"/>
        <item x="6"/>
        <item h="1" x="5"/>
        <item h="1" x="7"/>
        <item h="1" x="1"/>
        <item t="default"/>
      </items>
    </pivotField>
    <pivotField name=" 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  <pivotField name=" 23" compact="0" outline="0" multipleItemSelectionAllowed="1" showAll="0">
      <items>
        <item x="0"/>
        <item t="default"/>
      </items>
    </pivotField>
    <pivotField name=" 24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25" compact="0" outline="0" multipleItemSelectionAllowed="1" showAll="0">
      <items>
        <item x="0"/>
        <item t="default"/>
      </items>
    </pivotField>
    <pivotField name=" 26" compact="0" outline="0" multipleItemSelectionAllowed="1" showAll="0">
      <items>
        <item x="0"/>
        <item t="default"/>
      </items>
    </pivotField>
    <pivotField name=" 27" compact="0" outline="0" multipleItemSelectionAllowed="1" showAll="0">
      <items>
        <item x="0"/>
        <item t="default"/>
      </items>
    </pivotField>
    <pivotField name=" 28" compact="0" outline="0" multipleItemSelectionAllowed="1" showAll="0">
      <items>
        <item x="0"/>
        <item t="default"/>
      </items>
    </pivotField>
    <pivotField name=" 2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30" compact="0" outline="0" multipleItemSelectionAllowed="1" showAll="0">
      <items>
        <item x="0"/>
        <item t="default"/>
      </items>
    </pivotField>
    <pivotField name=" 31" compact="0" outline="0" multipleItemSelectionAllowed="1" showAll="0">
      <items>
        <item x="0"/>
        <item t="default"/>
      </items>
    </pivotField>
    <pivotField name=" 32" compact="0" outline="0" multipleItemSelectionAllowed="1" showAll="0">
      <items>
        <item x="0"/>
        <item t="default"/>
      </items>
    </pivotField>
    <pivotField name=" 33" compact="0" outline="0" multipleItemSelectionAllowed="1" showAll="0">
      <items>
        <item x="0"/>
        <item t="default"/>
      </items>
    </pivotField>
    <pivotField name=" 3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 35" compact="0" outline="0" multipleItemSelectionAllowed="1" showAll="0">
      <items>
        <item x="0"/>
        <item t="default"/>
      </items>
    </pivotField>
    <pivotField name=" 36" compact="0" outline="0" multipleItemSelectionAllowed="1" showAll="0">
      <items>
        <item x="0"/>
        <item t="default"/>
      </items>
    </pivotField>
    <pivotField name=" 37" compact="0" outline="0" multipleItemSelectionAllowed="1" showAll="0">
      <items>
        <item x="0"/>
        <item t="default"/>
      </items>
    </pivotField>
    <pivotField name=" 38" compact="0" outline="0" multipleItemSelectionAllowed="1" showAll="0">
      <items>
        <item x="0"/>
        <item t="default"/>
      </items>
    </pivotField>
    <pivotField name=" 39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40" compact="0" outline="0" multipleItemSelectionAllowed="1" showAll="0">
      <items>
        <item x="0"/>
        <item t="default"/>
      </items>
    </pivotField>
    <pivotField name=" 41" compact="0" outline="0" multipleItemSelectionAllowed="1" showAll="0">
      <items>
        <item x="0"/>
        <item t="default"/>
      </items>
    </pivotField>
    <pivotField name=" 42" compact="0" outline="0" multipleItemSelectionAllowed="1" showAll="0">
      <items>
        <item x="0"/>
        <item t="default"/>
      </items>
    </pivotField>
    <pivotField name=" 43" compact="0" outline="0" multipleItemSelectionAllowed="1" showAll="0">
      <items>
        <item x="0"/>
        <item t="default"/>
      </items>
    </pivotField>
    <pivotField name=" 44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 45" compact="0" outline="0" multipleItemSelectionAllowed="1" showAll="0">
      <items>
        <item x="0"/>
        <item t="default"/>
      </items>
    </pivotField>
    <pivotField name=" 46" compact="0" outline="0" multipleItemSelectionAllowed="1" showAll="0">
      <items>
        <item x="0"/>
        <item t="default"/>
      </items>
    </pivotField>
    <pivotField name=" 47" compact="0" outline="0" multipleItemSelectionAllowed="1" showAll="0">
      <items>
        <item x="0"/>
        <item t="default"/>
      </items>
    </pivotField>
    <pivotField name=" 48" compact="0" outline="0" multipleItemSelectionAllowed="1" showAll="0">
      <items>
        <item x="0"/>
        <item t="default"/>
      </items>
    </pivotField>
    <pivotField name=" 49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50" compact="0" outline="0" multipleItemSelectionAllowed="1" showAll="0">
      <items>
        <item x="0"/>
        <item t="default"/>
      </items>
    </pivotField>
    <pivotField name=" 51" compact="0" outline="0" multipleItemSelectionAllowed="1" showAll="0">
      <items>
        <item x="0"/>
        <item t="default"/>
      </items>
    </pivotField>
    <pivotField name=" 52" compact="0" outline="0" multipleItemSelectionAllowed="1" showAll="0">
      <items>
        <item x="0"/>
        <item t="default"/>
      </items>
    </pivotField>
    <pivotField name=" 53" compact="0" outline="0" multipleItemSelectionAllowed="1" showAll="0">
      <items>
        <item x="0"/>
        <item t="default"/>
      </items>
    </pivotField>
    <pivotField name=" 5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 55" compact="0" outline="0" multipleItemSelectionAllowed="1" showAll="0">
      <items>
        <item x="0"/>
        <item t="default"/>
      </items>
    </pivotField>
    <pivotField name=" 56" compact="0" outline="0" multipleItemSelectionAllowed="1" showAll="0">
      <items>
        <item x="0"/>
        <item t="default"/>
      </items>
    </pivotField>
    <pivotField name=" 57" compact="0" outline="0" multipleItemSelectionAllowed="1" showAll="0">
      <items>
        <item x="0"/>
        <item t="default"/>
      </items>
    </pivotField>
    <pivotField name=" 58" compact="0" outline="0" multipleItemSelectionAllowed="1" showAll="0">
      <items>
        <item x="0"/>
        <item t="default"/>
      </items>
    </pivotField>
    <pivotField name=" 59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 60" compact="0" outline="0" multipleItemSelectionAllowed="1" showAll="0">
      <items>
        <item x="0"/>
        <item t="default"/>
      </items>
    </pivotField>
    <pivotField name=" 61" compact="0" outline="0" multipleItemSelectionAllowed="1" showAll="0">
      <items>
        <item x="0"/>
        <item t="default"/>
      </items>
    </pivotField>
    <pivotField name=" 62" compact="0" outline="0" multipleItemSelectionAllowed="1" showAll="0">
      <items>
        <item x="0"/>
        <item t="default"/>
      </items>
    </pivotField>
    <pivotField name=" 63" compact="0" outline="0" multipleItemSelectionAllowed="1" showAll="0">
      <items>
        <item x="0"/>
        <item t="default"/>
      </items>
    </pivotField>
  </pivotFields>
  <rowFields>
    <field x="7"/>
  </rowFields>
  <colFields>
    <field x="-2"/>
  </colFields>
  <dataFields>
    <dataField name="1st qtr" fld="13" baseField="0"/>
    <dataField name="2nd qtr" fld="23" baseField="0"/>
    <dataField name="3rd qtr" fld="33" baseField="0"/>
    <dataField name="4th qtr" fld="43" baseField="0"/>
  </dataFields>
  <pivotTableStyleInfo name="Google Sheets Pivot Table Style" showRowHeaders="1" showColHeaders="1" showLastColumn="1"/>
</pivotTableDefinition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/>
  </sheetViews>
  <sheetFormatPr customHeight="1" defaultColWidth="13.44" defaultRowHeight="15.0"/>
  <cols>
    <col customWidth="1" min="1" max="1" width="3.78"/>
    <col customWidth="1" min="2" max="2" width="9.89"/>
    <col customWidth="1" min="3" max="3" width="21.0"/>
    <col customWidth="1" min="4" max="5" width="5.67"/>
    <col customWidth="1" min="6" max="6" width="1.89"/>
    <col customWidth="1" min="7" max="7" width="2.11"/>
    <col customWidth="1" min="8" max="8" width="2.44"/>
    <col customWidth="1" min="9" max="9" width="2.22"/>
    <col customWidth="1" min="10" max="10" width="2.11"/>
    <col customWidth="1" min="11" max="11" width="2.33"/>
    <col customWidth="1" min="12" max="12" width="2.56"/>
    <col customWidth="1" min="13" max="13" width="2.11"/>
    <col customWidth="1" min="14" max="14" width="2.56"/>
    <col customWidth="1" min="15" max="15" width="2.33"/>
    <col customWidth="1" min="16" max="16" width="2.67"/>
    <col customWidth="1" min="17" max="19" width="2.56"/>
    <col customWidth="1" min="20" max="20" width="1.67"/>
    <col customWidth="1" min="21" max="67" width="3.0"/>
  </cols>
  <sheetData>
    <row r="1" ht="21.0" customHeight="1">
      <c r="A1" s="1"/>
      <c r="B1" s="2"/>
      <c r="C1" s="3"/>
      <c r="D1" s="3"/>
      <c r="E1" s="3"/>
      <c r="F1" s="5"/>
      <c r="G1" s="6"/>
      <c r="H1" s="7"/>
      <c r="I1" s="8"/>
      <c r="J1" s="7"/>
      <c r="K1" s="9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1"/>
      <c r="AB1" s="11"/>
      <c r="AC1" s="11"/>
      <c r="AD1" s="11"/>
      <c r="AE1" s="11"/>
      <c r="AF1" s="11"/>
      <c r="AG1" s="11"/>
      <c r="AH1" s="11"/>
      <c r="AI1" s="11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</row>
    <row r="2" ht="21.0" customHeight="1">
      <c r="A2" s="10"/>
      <c r="B2" s="12" t="s">
        <v>327</v>
      </c>
      <c r="C2" s="12"/>
      <c r="D2" s="12"/>
      <c r="E2" s="152"/>
      <c r="F2" s="13"/>
      <c r="G2" s="14"/>
      <c r="H2" s="14"/>
      <c r="I2" s="14"/>
      <c r="J2" s="14"/>
      <c r="K2" s="14"/>
      <c r="L2" s="15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</row>
    <row r="3" ht="21.0" customHeight="1">
      <c r="A3" s="17"/>
      <c r="B3" s="18"/>
      <c r="C3" s="18"/>
      <c r="D3" s="18"/>
      <c r="E3" s="19"/>
      <c r="F3" s="18"/>
      <c r="G3" s="18"/>
      <c r="H3" s="18"/>
      <c r="I3" s="18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</row>
    <row r="4" ht="21.0" customHeight="1">
      <c r="A4" s="20"/>
      <c r="B4" s="21"/>
      <c r="D4" s="21"/>
      <c r="E4" s="21"/>
      <c r="F4" s="22" t="s">
        <v>329</v>
      </c>
      <c r="T4" s="23"/>
      <c r="U4" s="22" t="s">
        <v>330</v>
      </c>
      <c r="AI4" s="23"/>
      <c r="AJ4" s="24" t="s">
        <v>331</v>
      </c>
      <c r="AX4" s="23"/>
      <c r="AY4" s="24" t="s">
        <v>332</v>
      </c>
      <c r="BM4" s="23"/>
      <c r="BN4" s="153"/>
      <c r="BO4" s="153"/>
    </row>
    <row r="5" ht="21.0" customHeight="1">
      <c r="A5" s="28"/>
      <c r="D5" s="21"/>
      <c r="F5" s="29" t="s">
        <v>9</v>
      </c>
      <c r="G5" s="30"/>
      <c r="H5" s="30"/>
      <c r="I5" s="30"/>
      <c r="J5" s="30"/>
      <c r="K5" s="29" t="s">
        <v>8</v>
      </c>
      <c r="L5" s="30"/>
      <c r="M5" s="30"/>
      <c r="N5" s="30"/>
      <c r="O5" s="30"/>
      <c r="P5" s="29" t="s">
        <v>333</v>
      </c>
      <c r="Q5" s="30"/>
      <c r="R5" s="30"/>
      <c r="S5" s="30"/>
      <c r="T5" s="154"/>
      <c r="U5" s="29" t="s">
        <v>9</v>
      </c>
      <c r="V5" s="30"/>
      <c r="W5" s="30"/>
      <c r="X5" s="30"/>
      <c r="Y5" s="30"/>
      <c r="Z5" s="29" t="s">
        <v>334</v>
      </c>
      <c r="AA5" s="30"/>
      <c r="AB5" s="30"/>
      <c r="AC5" s="30"/>
      <c r="AD5" s="30"/>
      <c r="AE5" s="29" t="s">
        <v>10</v>
      </c>
      <c r="AF5" s="30"/>
      <c r="AG5" s="30"/>
      <c r="AH5" s="30"/>
      <c r="AI5" s="154"/>
      <c r="AJ5" s="29"/>
      <c r="AK5" s="30"/>
      <c r="AL5" s="30"/>
      <c r="AM5" s="30"/>
      <c r="AN5" s="30"/>
      <c r="AO5" s="29"/>
      <c r="AP5" s="30"/>
      <c r="AQ5" s="30"/>
      <c r="AR5" s="30"/>
      <c r="AS5" s="30"/>
      <c r="AT5" s="29"/>
      <c r="AU5" s="30"/>
      <c r="AV5" s="30"/>
      <c r="AW5" s="30"/>
      <c r="AX5" s="154"/>
      <c r="AY5" s="29"/>
      <c r="AZ5" s="30"/>
      <c r="BA5" s="30"/>
      <c r="BB5" s="30"/>
      <c r="BC5" s="30"/>
      <c r="BD5" s="29"/>
      <c r="BE5" s="30"/>
      <c r="BF5" s="30"/>
      <c r="BG5" s="30"/>
      <c r="BH5" s="30"/>
      <c r="BI5" s="29"/>
      <c r="BJ5" s="30"/>
      <c r="BK5" s="30"/>
      <c r="BL5" s="30"/>
      <c r="BM5" s="154"/>
      <c r="BN5" s="155"/>
      <c r="BO5" s="155"/>
    </row>
    <row r="6" ht="21.0" customHeight="1">
      <c r="A6" s="33"/>
      <c r="B6" s="34" t="s">
        <v>335</v>
      </c>
      <c r="C6" s="36"/>
      <c r="D6" s="36"/>
      <c r="E6" s="36"/>
      <c r="F6" s="37"/>
      <c r="G6" s="36"/>
      <c r="H6" s="36"/>
      <c r="I6" s="36"/>
      <c r="J6" s="36"/>
      <c r="K6" s="38"/>
      <c r="L6" s="36"/>
      <c r="M6" s="36"/>
      <c r="N6" s="36"/>
      <c r="O6" s="36"/>
      <c r="P6" s="38"/>
      <c r="Q6" s="36"/>
      <c r="R6" s="36"/>
      <c r="S6" s="36"/>
      <c r="T6" s="156"/>
      <c r="U6" s="37"/>
      <c r="V6" s="36"/>
      <c r="W6" s="36"/>
      <c r="X6" s="36"/>
      <c r="Y6" s="36"/>
      <c r="Z6" s="38"/>
      <c r="AA6" s="36"/>
      <c r="AB6" s="36"/>
      <c r="AC6" s="36"/>
      <c r="AD6" s="36"/>
      <c r="AE6" s="38"/>
      <c r="AF6" s="36"/>
      <c r="AG6" s="36"/>
      <c r="AH6" s="36"/>
      <c r="AI6" s="156"/>
      <c r="AJ6" s="38"/>
      <c r="AK6" s="36"/>
      <c r="AL6" s="36"/>
      <c r="AM6" s="36"/>
      <c r="AN6" s="36"/>
      <c r="AO6" s="38"/>
      <c r="AP6" s="36"/>
      <c r="AQ6" s="36"/>
      <c r="AR6" s="36"/>
      <c r="AS6" s="36"/>
      <c r="AT6" s="38"/>
      <c r="AU6" s="36"/>
      <c r="AV6" s="36"/>
      <c r="AW6" s="36"/>
      <c r="AX6" s="156"/>
      <c r="AY6" s="38"/>
      <c r="AZ6" s="36"/>
      <c r="BA6" s="36"/>
      <c r="BB6" s="36"/>
      <c r="BC6" s="36"/>
      <c r="BD6" s="38"/>
      <c r="BE6" s="36"/>
      <c r="BF6" s="36"/>
      <c r="BG6" s="36"/>
      <c r="BH6" s="36"/>
      <c r="BI6" s="38"/>
      <c r="BJ6" s="36"/>
      <c r="BK6" s="36"/>
      <c r="BL6" s="36"/>
      <c r="BM6" s="156"/>
      <c r="BN6" s="33"/>
      <c r="BO6" s="33"/>
    </row>
    <row r="7" ht="28.5" customHeight="1">
      <c r="A7" s="43"/>
      <c r="B7" s="157" t="s">
        <v>11</v>
      </c>
      <c r="C7" s="47"/>
      <c r="D7" s="57"/>
      <c r="E7" s="57"/>
      <c r="F7" s="158">
        <v>40600.0</v>
      </c>
      <c r="G7" s="47"/>
      <c r="H7" s="47"/>
      <c r="I7" s="47"/>
      <c r="J7" s="48"/>
      <c r="K7" s="159">
        <f>sum(K8:O11)</f>
        <v>0</v>
      </c>
      <c r="L7" s="47"/>
      <c r="M7" s="47"/>
      <c r="N7" s="47"/>
      <c r="O7" s="48"/>
      <c r="P7" s="160">
        <f>F7-K7</f>
        <v>40600</v>
      </c>
      <c r="Q7" s="47"/>
      <c r="R7" s="47"/>
      <c r="S7" s="47"/>
      <c r="T7" s="161"/>
      <c r="U7" s="158">
        <v>93000.0</v>
      </c>
      <c r="V7" s="47"/>
      <c r="W7" s="47"/>
      <c r="X7" s="47"/>
      <c r="Y7" s="48"/>
      <c r="Z7" s="162">
        <f>sum(Z8:AD11)</f>
        <v>45600.53</v>
      </c>
      <c r="AA7" s="47"/>
      <c r="AB7" s="47"/>
      <c r="AC7" s="47"/>
      <c r="AD7" s="48"/>
      <c r="AE7" s="163">
        <f>U7-Z7</f>
        <v>47399.47</v>
      </c>
      <c r="AF7" s="47"/>
      <c r="AG7" s="47"/>
      <c r="AH7" s="47"/>
      <c r="AI7" s="161"/>
      <c r="AJ7" s="164"/>
      <c r="AX7" s="117"/>
      <c r="AY7" s="164"/>
      <c r="BM7" s="117"/>
      <c r="BN7" s="43"/>
      <c r="BO7" s="43"/>
    </row>
    <row r="8" ht="21.0" customHeight="1">
      <c r="A8" s="43"/>
      <c r="B8" s="157" t="s">
        <v>339</v>
      </c>
      <c r="C8" s="47"/>
      <c r="D8" s="57"/>
      <c r="E8" s="57"/>
      <c r="F8" s="165" t="s">
        <v>22</v>
      </c>
      <c r="G8" s="47"/>
      <c r="H8" s="47"/>
      <c r="I8" s="47"/>
      <c r="J8" s="48"/>
      <c r="K8" s="166">
        <v>0.0</v>
      </c>
      <c r="L8" s="47"/>
      <c r="M8" s="47"/>
      <c r="N8" s="47"/>
      <c r="O8" s="48"/>
      <c r="P8" s="59"/>
      <c r="Q8" s="47"/>
      <c r="R8" s="47"/>
      <c r="S8" s="47"/>
      <c r="T8" s="161"/>
      <c r="U8" s="104" t="s">
        <v>22</v>
      </c>
      <c r="V8" s="47"/>
      <c r="W8" s="47"/>
      <c r="X8" s="47"/>
      <c r="Y8" s="48"/>
      <c r="Z8" s="149">
        <f>'RC'!BB7</f>
        <v>7807.93</v>
      </c>
      <c r="AA8" s="47"/>
      <c r="AB8" s="47"/>
      <c r="AC8" s="47"/>
      <c r="AD8" s="48"/>
      <c r="AE8" s="148"/>
      <c r="AF8" s="47"/>
      <c r="AG8" s="47"/>
      <c r="AH8" s="47"/>
      <c r="AI8" s="161"/>
      <c r="AX8" s="117"/>
      <c r="BM8" s="117"/>
      <c r="BN8" s="43"/>
      <c r="BO8" s="43"/>
    </row>
    <row r="9" ht="21.0" customHeight="1">
      <c r="A9" s="43"/>
      <c r="B9" s="157" t="s">
        <v>344</v>
      </c>
      <c r="C9" s="157"/>
      <c r="D9" s="57"/>
      <c r="E9" s="168"/>
      <c r="F9" s="165" t="s">
        <v>3</v>
      </c>
      <c r="G9" s="47"/>
      <c r="H9" s="47"/>
      <c r="I9" s="47"/>
      <c r="J9" s="48"/>
      <c r="K9" s="166">
        <v>0.0</v>
      </c>
      <c r="L9" s="47"/>
      <c r="M9" s="47"/>
      <c r="N9" s="47"/>
      <c r="O9" s="48"/>
      <c r="P9" s="59"/>
      <c r="Q9" s="47"/>
      <c r="R9" s="47"/>
      <c r="S9" s="47"/>
      <c r="T9" s="161"/>
      <c r="U9" s="104" t="s">
        <v>3</v>
      </c>
      <c r="V9" s="47"/>
      <c r="W9" s="47"/>
      <c r="X9" s="47"/>
      <c r="Y9" s="48"/>
      <c r="Z9" s="149">
        <f>'RC'!BB8</f>
        <v>8141.7</v>
      </c>
      <c r="AA9" s="47"/>
      <c r="AB9" s="47"/>
      <c r="AC9" s="47"/>
      <c r="AD9" s="48"/>
      <c r="AE9" s="148"/>
      <c r="AF9" s="47"/>
      <c r="AG9" s="47"/>
      <c r="AH9" s="47"/>
      <c r="AI9" s="161"/>
      <c r="AX9" s="117"/>
      <c r="BM9" s="117"/>
      <c r="BN9" s="43"/>
      <c r="BO9" s="43"/>
    </row>
    <row r="10" ht="21.0" customHeight="1">
      <c r="A10" s="43"/>
      <c r="B10" s="157" t="s">
        <v>350</v>
      </c>
      <c r="C10" s="157"/>
      <c r="D10" s="57"/>
      <c r="E10" s="168"/>
      <c r="F10" s="165" t="s">
        <v>4</v>
      </c>
      <c r="G10" s="47"/>
      <c r="H10" s="47"/>
      <c r="I10" s="47"/>
      <c r="J10" s="48"/>
      <c r="K10" s="173">
        <v>0.0</v>
      </c>
      <c r="L10" s="47"/>
      <c r="M10" s="47"/>
      <c r="N10" s="47"/>
      <c r="O10" s="48"/>
      <c r="P10" s="59"/>
      <c r="Q10" s="47"/>
      <c r="R10" s="47"/>
      <c r="S10" s="47"/>
      <c r="T10" s="161"/>
      <c r="U10" s="104" t="s">
        <v>4</v>
      </c>
      <c r="V10" s="47"/>
      <c r="W10" s="47"/>
      <c r="X10" s="47"/>
      <c r="Y10" s="48"/>
      <c r="Z10" s="149">
        <f>'RC'!BB9</f>
        <v>18135.55</v>
      </c>
      <c r="AA10" s="47"/>
      <c r="AB10" s="47"/>
      <c r="AC10" s="47"/>
      <c r="AD10" s="48"/>
      <c r="AE10" s="148"/>
      <c r="AF10" s="47"/>
      <c r="AG10" s="47"/>
      <c r="AH10" s="47"/>
      <c r="AI10" s="161"/>
      <c r="AX10" s="117"/>
      <c r="BM10" s="117"/>
      <c r="BN10" s="43"/>
      <c r="BO10" s="43"/>
    </row>
    <row r="11" ht="21.0" customHeight="1">
      <c r="A11" s="43"/>
      <c r="B11" s="157"/>
      <c r="C11" s="157"/>
      <c r="D11" s="57"/>
      <c r="E11" s="168"/>
      <c r="F11" s="165" t="s">
        <v>5</v>
      </c>
      <c r="G11" s="47"/>
      <c r="H11" s="47"/>
      <c r="I11" s="47"/>
      <c r="J11" s="48"/>
      <c r="K11" s="173">
        <v>0.0</v>
      </c>
      <c r="L11" s="47"/>
      <c r="M11" s="47"/>
      <c r="N11" s="47"/>
      <c r="O11" s="48"/>
      <c r="P11" s="59"/>
      <c r="Q11" s="47"/>
      <c r="R11" s="47"/>
      <c r="S11" s="47"/>
      <c r="T11" s="161"/>
      <c r="U11" s="104" t="s">
        <v>5</v>
      </c>
      <c r="V11" s="47"/>
      <c r="W11" s="47"/>
      <c r="X11" s="47"/>
      <c r="Y11" s="48"/>
      <c r="Z11" s="149">
        <f>'RC'!BB10</f>
        <v>11515.35</v>
      </c>
      <c r="AA11" s="47"/>
      <c r="AB11" s="47"/>
      <c r="AC11" s="47"/>
      <c r="AD11" s="48"/>
      <c r="AE11" s="148"/>
      <c r="AF11" s="47"/>
      <c r="AG11" s="47"/>
      <c r="AH11" s="47"/>
      <c r="AI11" s="161"/>
      <c r="AX11" s="117"/>
      <c r="BM11" s="117"/>
      <c r="BN11" s="43"/>
      <c r="BO11" s="43"/>
    </row>
    <row r="12" ht="21.0" customHeight="1">
      <c r="A12" s="43"/>
      <c r="B12" s="157"/>
      <c r="C12" s="157"/>
      <c r="D12" s="57"/>
      <c r="E12" s="176"/>
      <c r="F12" s="177"/>
      <c r="G12" s="47"/>
      <c r="H12" s="47"/>
      <c r="I12" s="47"/>
      <c r="J12" s="48"/>
      <c r="K12" s="59"/>
      <c r="L12" s="47"/>
      <c r="M12" s="47"/>
      <c r="N12" s="47"/>
      <c r="O12" s="48"/>
      <c r="P12" s="59"/>
      <c r="Q12" s="47"/>
      <c r="R12" s="47"/>
      <c r="S12" s="47"/>
      <c r="T12" s="161"/>
      <c r="U12" s="178"/>
      <c r="V12" s="47"/>
      <c r="W12" s="47"/>
      <c r="X12" s="47"/>
      <c r="Y12" s="48"/>
      <c r="Z12" s="148"/>
      <c r="AA12" s="47"/>
      <c r="AB12" s="47"/>
      <c r="AC12" s="47"/>
      <c r="AD12" s="48"/>
      <c r="AE12" s="148"/>
      <c r="AF12" s="47"/>
      <c r="AG12" s="47"/>
      <c r="AH12" s="47"/>
      <c r="AI12" s="161"/>
      <c r="AX12" s="117"/>
      <c r="BM12" s="117"/>
      <c r="BN12" s="43"/>
      <c r="BO12" s="43"/>
    </row>
    <row r="13" ht="21.0" customHeight="1">
      <c r="A13" s="43"/>
      <c r="B13" s="157"/>
      <c r="C13" s="157"/>
      <c r="D13" s="57"/>
      <c r="E13" s="44"/>
      <c r="F13" s="177"/>
      <c r="G13" s="47"/>
      <c r="H13" s="47"/>
      <c r="I13" s="47"/>
      <c r="J13" s="48"/>
      <c r="K13" s="59"/>
      <c r="L13" s="47"/>
      <c r="M13" s="47"/>
      <c r="N13" s="47"/>
      <c r="O13" s="48"/>
      <c r="P13" s="59"/>
      <c r="Q13" s="47"/>
      <c r="R13" s="47"/>
      <c r="S13" s="47"/>
      <c r="T13" s="161"/>
      <c r="U13" s="177"/>
      <c r="V13" s="47"/>
      <c r="W13" s="47"/>
      <c r="X13" s="47"/>
      <c r="Y13" s="48"/>
      <c r="Z13" s="59"/>
      <c r="AA13" s="47"/>
      <c r="AB13" s="47"/>
      <c r="AC13" s="47"/>
      <c r="AD13" s="48"/>
      <c r="AE13" s="59"/>
      <c r="AF13" s="47"/>
      <c r="AG13" s="47"/>
      <c r="AH13" s="47"/>
      <c r="AI13" s="161"/>
      <c r="AX13" s="117"/>
      <c r="BM13" s="117"/>
      <c r="BN13" s="43"/>
      <c r="BO13" s="43"/>
    </row>
    <row r="14" ht="27.75" customHeight="1">
      <c r="A14" s="43"/>
      <c r="B14" s="179"/>
      <c r="D14" s="180"/>
      <c r="E14" s="181"/>
      <c r="F14" s="182"/>
      <c r="J14" s="117"/>
      <c r="K14" s="116"/>
      <c r="O14" s="117"/>
      <c r="P14" s="116"/>
      <c r="T14" s="23"/>
      <c r="U14" s="182"/>
      <c r="Y14" s="117"/>
      <c r="Z14" s="116"/>
      <c r="AD14" s="117"/>
      <c r="AE14" s="116"/>
      <c r="AI14" s="23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8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8"/>
      <c r="BN14" s="43"/>
      <c r="BO14" s="43"/>
    </row>
    <row r="15" ht="21.0" customHeight="1">
      <c r="A15" s="17"/>
      <c r="B15" s="63" t="s">
        <v>354</v>
      </c>
      <c r="C15" s="36"/>
      <c r="D15" s="36"/>
      <c r="E15" s="36"/>
      <c r="F15" s="65"/>
      <c r="G15" s="36"/>
      <c r="H15" s="36"/>
      <c r="I15" s="36"/>
      <c r="J15" s="36"/>
      <c r="K15" s="66"/>
      <c r="L15" s="36"/>
      <c r="M15" s="36"/>
      <c r="N15" s="36"/>
      <c r="O15" s="36"/>
      <c r="P15" s="66"/>
      <c r="Q15" s="36"/>
      <c r="R15" s="36"/>
      <c r="S15" s="36"/>
      <c r="T15" s="156"/>
      <c r="U15" s="65"/>
      <c r="V15" s="36"/>
      <c r="W15" s="36"/>
      <c r="X15" s="36"/>
      <c r="Y15" s="36"/>
      <c r="Z15" s="66"/>
      <c r="AA15" s="36"/>
      <c r="AB15" s="36"/>
      <c r="AC15" s="36"/>
      <c r="AD15" s="36"/>
      <c r="AE15" s="66"/>
      <c r="AF15" s="36"/>
      <c r="AG15" s="36"/>
      <c r="AH15" s="36"/>
      <c r="AI15" s="156"/>
      <c r="AJ15" s="66"/>
      <c r="AK15" s="36"/>
      <c r="AL15" s="36"/>
      <c r="AM15" s="36"/>
      <c r="AN15" s="36"/>
      <c r="AO15" s="66"/>
      <c r="AP15" s="36"/>
      <c r="AQ15" s="36"/>
      <c r="AR15" s="36"/>
      <c r="AS15" s="36"/>
      <c r="AT15" s="66"/>
      <c r="AU15" s="36"/>
      <c r="AV15" s="36"/>
      <c r="AW15" s="36"/>
      <c r="AX15" s="156"/>
      <c r="AY15" s="66"/>
      <c r="AZ15" s="36"/>
      <c r="BA15" s="36"/>
      <c r="BB15" s="36"/>
      <c r="BC15" s="36"/>
      <c r="BD15" s="66"/>
      <c r="BE15" s="36"/>
      <c r="BF15" s="36"/>
      <c r="BG15" s="36"/>
      <c r="BH15" s="36"/>
      <c r="BI15" s="66"/>
      <c r="BJ15" s="36"/>
      <c r="BK15" s="36"/>
      <c r="BL15" s="36"/>
      <c r="BM15" s="156"/>
      <c r="BN15" s="17"/>
      <c r="BO15" s="17"/>
    </row>
    <row r="16" ht="21.0" customHeight="1">
      <c r="A16" s="17"/>
      <c r="B16" s="183" t="s">
        <v>355</v>
      </c>
      <c r="C16" s="47"/>
      <c r="D16" s="57"/>
      <c r="E16" s="57"/>
      <c r="F16" s="184">
        <v>147763.0</v>
      </c>
      <c r="G16" s="47"/>
      <c r="H16" s="47"/>
      <c r="I16" s="47"/>
      <c r="J16" s="48"/>
      <c r="K16" s="185">
        <f>SUM(K17:O20)</f>
        <v>1842.8</v>
      </c>
      <c r="L16" s="47"/>
      <c r="M16" s="47"/>
      <c r="N16" s="47"/>
      <c r="O16" s="48"/>
      <c r="P16" s="186">
        <f>F16-K16</f>
        <v>145920.2</v>
      </c>
      <c r="Q16" s="47"/>
      <c r="R16" s="47"/>
      <c r="S16" s="47"/>
      <c r="T16" s="161"/>
      <c r="U16" s="184">
        <v>195900.0</v>
      </c>
      <c r="V16" s="47"/>
      <c r="W16" s="47"/>
      <c r="X16" s="47"/>
      <c r="Y16" s="48"/>
      <c r="Z16" s="187">
        <f>sum(Z17:AD20)</f>
        <v>131427.21</v>
      </c>
      <c r="AA16" s="47"/>
      <c r="AB16" s="47"/>
      <c r="AC16" s="47"/>
      <c r="AD16" s="48"/>
      <c r="AE16" s="188">
        <f>U16-Z16</f>
        <v>64472.79</v>
      </c>
      <c r="AF16" s="47"/>
      <c r="AG16" s="47"/>
      <c r="AH16" s="47"/>
      <c r="AI16" s="161"/>
      <c r="AJ16" s="164"/>
      <c r="AX16" s="117"/>
      <c r="AY16" s="164"/>
      <c r="BM16" s="117"/>
      <c r="BN16" s="17"/>
      <c r="BO16" s="17"/>
    </row>
    <row r="17" ht="21.0" customHeight="1">
      <c r="A17" s="17"/>
      <c r="B17" s="183" t="s">
        <v>149</v>
      </c>
      <c r="C17" s="47"/>
      <c r="D17" s="57"/>
      <c r="E17" s="57"/>
      <c r="F17" s="165" t="s">
        <v>22</v>
      </c>
      <c r="G17" s="47"/>
      <c r="H17" s="47"/>
      <c r="I17" s="47"/>
      <c r="J17" s="48"/>
      <c r="K17" s="189">
        <v>16.8</v>
      </c>
      <c r="L17" s="47"/>
      <c r="M17" s="47"/>
      <c r="N17" s="47"/>
      <c r="O17" s="48"/>
      <c r="P17" s="148"/>
      <c r="Q17" s="47"/>
      <c r="R17" s="47"/>
      <c r="S17" s="47"/>
      <c r="T17" s="161"/>
      <c r="U17" s="104" t="s">
        <v>22</v>
      </c>
      <c r="V17" s="47"/>
      <c r="W17" s="47"/>
      <c r="X17" s="47"/>
      <c r="Y17" s="48"/>
      <c r="Z17" s="149">
        <f>CASE!BB7+CASE!BB33+CASE!BB59+CASE!BB83</f>
        <v>18826.87</v>
      </c>
      <c r="AA17" s="47"/>
      <c r="AB17" s="47"/>
      <c r="AC17" s="47"/>
      <c r="AD17" s="48"/>
      <c r="AE17" s="148"/>
      <c r="AF17" s="47"/>
      <c r="AG17" s="47"/>
      <c r="AH17" s="47"/>
      <c r="AI17" s="161"/>
      <c r="AX17" s="117"/>
      <c r="BM17" s="117"/>
      <c r="BN17" s="17"/>
      <c r="BO17" s="17"/>
    </row>
    <row r="18" ht="21.0" customHeight="1">
      <c r="A18" s="17"/>
      <c r="B18" s="183" t="s">
        <v>356</v>
      </c>
      <c r="C18" s="47"/>
      <c r="D18" s="57"/>
      <c r="E18" s="168"/>
      <c r="F18" s="165" t="s">
        <v>3</v>
      </c>
      <c r="G18" s="47"/>
      <c r="H18" s="47"/>
      <c r="I18" s="47"/>
      <c r="J18" s="48"/>
      <c r="K18" s="189">
        <v>41.8</v>
      </c>
      <c r="L18" s="47"/>
      <c r="M18" s="47"/>
      <c r="N18" s="47"/>
      <c r="O18" s="48"/>
      <c r="P18" s="148"/>
      <c r="Q18" s="47"/>
      <c r="R18" s="47"/>
      <c r="S18" s="47"/>
      <c r="T18" s="161"/>
      <c r="U18" s="104" t="s">
        <v>3</v>
      </c>
      <c r="V18" s="47"/>
      <c r="W18" s="47"/>
      <c r="X18" s="47"/>
      <c r="Y18" s="48"/>
      <c r="Z18" s="149">
        <f>CASE!BB8+CASE!BB34+CASE!BB60+CASE!BB84</f>
        <v>37762.6</v>
      </c>
      <c r="AA18" s="47"/>
      <c r="AB18" s="47"/>
      <c r="AC18" s="47"/>
      <c r="AD18" s="48"/>
      <c r="AE18" s="148"/>
      <c r="AF18" s="47"/>
      <c r="AG18" s="47"/>
      <c r="AH18" s="47"/>
      <c r="AI18" s="161"/>
      <c r="AX18" s="117"/>
      <c r="BM18" s="117"/>
      <c r="BN18" s="17"/>
      <c r="BO18" s="17"/>
    </row>
    <row r="19" ht="21.0" customHeight="1">
      <c r="A19" s="17"/>
      <c r="B19" s="183" t="s">
        <v>357</v>
      </c>
      <c r="C19" s="47"/>
      <c r="D19" s="57"/>
      <c r="E19" s="168"/>
      <c r="F19" s="165" t="s">
        <v>4</v>
      </c>
      <c r="G19" s="47"/>
      <c r="H19" s="47"/>
      <c r="I19" s="47"/>
      <c r="J19" s="48"/>
      <c r="K19" s="189">
        <v>0.0</v>
      </c>
      <c r="L19" s="47"/>
      <c r="M19" s="47"/>
      <c r="N19" s="47"/>
      <c r="O19" s="48"/>
      <c r="P19" s="148"/>
      <c r="Q19" s="47"/>
      <c r="R19" s="47"/>
      <c r="S19" s="47"/>
      <c r="T19" s="161"/>
      <c r="U19" s="104" t="s">
        <v>4</v>
      </c>
      <c r="V19" s="47"/>
      <c r="W19" s="47"/>
      <c r="X19" s="47"/>
      <c r="Y19" s="48"/>
      <c r="Z19" s="149">
        <f>CASE!BB9+CASE!BB35+CASE!BB61+CASE!BB85</f>
        <v>32645.68</v>
      </c>
      <c r="AA19" s="47"/>
      <c r="AB19" s="47"/>
      <c r="AC19" s="47"/>
      <c r="AD19" s="48"/>
      <c r="AE19" s="148"/>
      <c r="AF19" s="47"/>
      <c r="AG19" s="47"/>
      <c r="AH19" s="47"/>
      <c r="AI19" s="161"/>
      <c r="AX19" s="117"/>
      <c r="BM19" s="117"/>
      <c r="BN19" s="17"/>
      <c r="BO19" s="17"/>
    </row>
    <row r="20" ht="21.0" customHeight="1">
      <c r="A20" s="17"/>
      <c r="B20" s="183" t="s">
        <v>219</v>
      </c>
      <c r="C20" s="47"/>
      <c r="D20" s="57"/>
      <c r="E20" s="168"/>
      <c r="F20" s="165" t="s">
        <v>5</v>
      </c>
      <c r="G20" s="47"/>
      <c r="H20" s="47"/>
      <c r="I20" s="47"/>
      <c r="J20" s="48"/>
      <c r="K20" s="189">
        <v>1784.2</v>
      </c>
      <c r="L20" s="47"/>
      <c r="M20" s="47"/>
      <c r="N20" s="47"/>
      <c r="O20" s="48"/>
      <c r="P20" s="148"/>
      <c r="Q20" s="47"/>
      <c r="R20" s="47"/>
      <c r="S20" s="47"/>
      <c r="T20" s="161"/>
      <c r="U20" s="104" t="s">
        <v>5</v>
      </c>
      <c r="V20" s="47"/>
      <c r="W20" s="47"/>
      <c r="X20" s="47"/>
      <c r="Y20" s="48"/>
      <c r="Z20" s="149">
        <f>CASE!BB10+CASE!BB36+CASE!BB62+CASE!BB86</f>
        <v>42192.06</v>
      </c>
      <c r="AA20" s="47"/>
      <c r="AB20" s="47"/>
      <c r="AC20" s="47"/>
      <c r="AD20" s="48"/>
      <c r="AE20" s="148"/>
      <c r="AF20" s="47"/>
      <c r="AG20" s="47"/>
      <c r="AH20" s="47"/>
      <c r="AI20" s="161"/>
      <c r="AX20" s="117"/>
      <c r="BM20" s="117"/>
      <c r="BN20" s="17"/>
      <c r="BO20" s="17"/>
    </row>
    <row r="21" ht="21.0" customHeight="1">
      <c r="A21" s="17"/>
      <c r="B21" s="183" t="s">
        <v>271</v>
      </c>
      <c r="C21" s="190"/>
      <c r="D21" s="57"/>
      <c r="E21" s="176"/>
      <c r="F21" s="191"/>
      <c r="G21" s="47"/>
      <c r="H21" s="47"/>
      <c r="I21" s="47"/>
      <c r="J21" s="48"/>
      <c r="K21" s="192"/>
      <c r="L21" s="47"/>
      <c r="M21" s="47"/>
      <c r="N21" s="47"/>
      <c r="O21" s="48"/>
      <c r="P21" s="148"/>
      <c r="Q21" s="47"/>
      <c r="R21" s="47"/>
      <c r="S21" s="47"/>
      <c r="T21" s="161"/>
      <c r="U21" s="178"/>
      <c r="V21" s="47"/>
      <c r="W21" s="47"/>
      <c r="X21" s="47"/>
      <c r="Y21" s="48"/>
      <c r="Z21" s="148"/>
      <c r="AA21" s="47"/>
      <c r="AB21" s="47"/>
      <c r="AC21" s="47"/>
      <c r="AD21" s="48"/>
      <c r="AE21" s="148"/>
      <c r="AF21" s="47"/>
      <c r="AG21" s="47"/>
      <c r="AH21" s="47"/>
      <c r="AI21" s="161"/>
      <c r="AX21" s="117"/>
      <c r="BM21" s="117"/>
      <c r="BN21" s="17"/>
      <c r="BO21" s="17"/>
    </row>
    <row r="22" ht="21.0" customHeight="1">
      <c r="A22" s="17"/>
      <c r="B22" s="183"/>
      <c r="C22" s="47"/>
      <c r="D22" s="193"/>
      <c r="E22" s="194"/>
      <c r="F22" s="178"/>
      <c r="G22" s="47"/>
      <c r="H22" s="47"/>
      <c r="I22" s="47"/>
      <c r="J22" s="48"/>
      <c r="K22" s="148"/>
      <c r="L22" s="47"/>
      <c r="M22" s="47"/>
      <c r="N22" s="47"/>
      <c r="O22" s="48"/>
      <c r="P22" s="148"/>
      <c r="Q22" s="47"/>
      <c r="R22" s="47"/>
      <c r="S22" s="47"/>
      <c r="T22" s="161"/>
      <c r="U22" s="178"/>
      <c r="V22" s="47"/>
      <c r="W22" s="47"/>
      <c r="X22" s="47"/>
      <c r="Y22" s="48"/>
      <c r="Z22" s="148"/>
      <c r="AA22" s="47"/>
      <c r="AB22" s="47"/>
      <c r="AC22" s="47"/>
      <c r="AD22" s="48"/>
      <c r="AE22" s="148"/>
      <c r="AF22" s="47"/>
      <c r="AG22" s="47"/>
      <c r="AH22" s="47"/>
      <c r="AI22" s="161"/>
      <c r="AX22" s="117"/>
      <c r="BM22" s="117"/>
      <c r="BN22" s="17"/>
      <c r="BO22" s="17"/>
    </row>
    <row r="23" ht="21.0" customHeight="1">
      <c r="A23" s="17"/>
      <c r="B23" s="195"/>
      <c r="D23" s="196"/>
      <c r="E23" s="197"/>
      <c r="F23" s="198"/>
      <c r="J23" s="117"/>
      <c r="K23" s="164"/>
      <c r="O23" s="117"/>
      <c r="P23" s="164"/>
      <c r="T23" s="23"/>
      <c r="U23" s="198"/>
      <c r="Y23" s="117"/>
      <c r="Z23" s="164"/>
      <c r="AD23" s="117"/>
      <c r="AE23" s="164"/>
      <c r="AI23" s="23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8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8"/>
      <c r="BN23" s="17"/>
      <c r="BO23" s="17"/>
    </row>
    <row r="24" ht="21.0" customHeight="1">
      <c r="A24" s="17"/>
      <c r="B24" s="124" t="s">
        <v>365</v>
      </c>
      <c r="C24" s="36"/>
      <c r="D24" s="36"/>
      <c r="E24" s="36"/>
      <c r="F24" s="126"/>
      <c r="G24" s="36"/>
      <c r="H24" s="36"/>
      <c r="I24" s="36"/>
      <c r="J24" s="36"/>
      <c r="K24" s="127"/>
      <c r="L24" s="36"/>
      <c r="M24" s="36"/>
      <c r="N24" s="36"/>
      <c r="O24" s="36"/>
      <c r="P24" s="127"/>
      <c r="Q24" s="36"/>
      <c r="R24" s="36"/>
      <c r="S24" s="36"/>
      <c r="T24" s="156"/>
      <c r="U24" s="126"/>
      <c r="V24" s="36"/>
      <c r="W24" s="36"/>
      <c r="X24" s="36"/>
      <c r="Y24" s="36"/>
      <c r="Z24" s="127"/>
      <c r="AA24" s="36"/>
      <c r="AB24" s="36"/>
      <c r="AC24" s="36"/>
      <c r="AD24" s="36"/>
      <c r="AE24" s="127"/>
      <c r="AF24" s="36"/>
      <c r="AG24" s="36"/>
      <c r="AH24" s="36"/>
      <c r="AI24" s="156"/>
      <c r="AJ24" s="127"/>
      <c r="AK24" s="36"/>
      <c r="AL24" s="36"/>
      <c r="AM24" s="36"/>
      <c r="AN24" s="36"/>
      <c r="AO24" s="127"/>
      <c r="AP24" s="36"/>
      <c r="AQ24" s="36"/>
      <c r="AR24" s="36"/>
      <c r="AS24" s="36"/>
      <c r="AT24" s="127"/>
      <c r="AU24" s="36"/>
      <c r="AV24" s="36"/>
      <c r="AW24" s="36"/>
      <c r="AX24" s="156"/>
      <c r="AY24" s="127"/>
      <c r="AZ24" s="36"/>
      <c r="BA24" s="36"/>
      <c r="BB24" s="36"/>
      <c r="BC24" s="36"/>
      <c r="BD24" s="127"/>
      <c r="BE24" s="36"/>
      <c r="BF24" s="36"/>
      <c r="BG24" s="36"/>
      <c r="BH24" s="36"/>
      <c r="BI24" s="127"/>
      <c r="BJ24" s="36"/>
      <c r="BK24" s="36"/>
      <c r="BL24" s="36"/>
      <c r="BM24" s="156"/>
      <c r="BN24" s="17"/>
      <c r="BO24" s="17"/>
    </row>
    <row r="25" ht="21.0" customHeight="1">
      <c r="A25" s="17"/>
      <c r="B25" s="183" t="s">
        <v>366</v>
      </c>
      <c r="C25" s="47"/>
      <c r="D25" s="57"/>
      <c r="E25" s="44"/>
      <c r="F25" s="199"/>
      <c r="G25" s="47"/>
      <c r="H25" s="47"/>
      <c r="I25" s="47"/>
      <c r="J25" s="48"/>
      <c r="K25" s="200">
        <f>SUM(K26:O29)</f>
        <v>6669.65</v>
      </c>
      <c r="L25" s="47"/>
      <c r="M25" s="47"/>
      <c r="N25" s="47"/>
      <c r="O25" s="48"/>
      <c r="P25" s="202">
        <f>F25-K25</f>
        <v>-6669.65</v>
      </c>
      <c r="Q25" s="47"/>
      <c r="R25" s="47"/>
      <c r="S25" s="47"/>
      <c r="T25" s="161"/>
      <c r="U25" s="204">
        <v>350000.0</v>
      </c>
      <c r="V25" s="47"/>
      <c r="W25" s="47"/>
      <c r="X25" s="47"/>
      <c r="Y25" s="48"/>
      <c r="Z25" s="131">
        <f>sum(Z26:AD29)</f>
        <v>73541.28</v>
      </c>
      <c r="AA25" s="47"/>
      <c r="AB25" s="47"/>
      <c r="AC25" s="47"/>
      <c r="AD25" s="48"/>
      <c r="AE25" s="205">
        <f>U25-Z25</f>
        <v>276458.72</v>
      </c>
      <c r="AF25" s="47"/>
      <c r="AG25" s="47"/>
      <c r="AH25" s="47"/>
      <c r="AI25" s="161"/>
      <c r="AJ25" s="164"/>
      <c r="AX25" s="117"/>
      <c r="AY25" s="164"/>
      <c r="BM25" s="117"/>
      <c r="BN25" s="17"/>
      <c r="BO25" s="17"/>
    </row>
    <row r="26" ht="21.0" customHeight="1">
      <c r="A26" s="17"/>
      <c r="B26" s="183" t="s">
        <v>172</v>
      </c>
      <c r="C26" s="47"/>
      <c r="D26" s="57"/>
      <c r="E26" s="44"/>
      <c r="F26" s="207" t="s">
        <v>369</v>
      </c>
      <c r="G26" s="47"/>
      <c r="H26" s="47"/>
      <c r="I26" s="47"/>
      <c r="J26" s="48"/>
      <c r="K26" s="189">
        <v>0.0</v>
      </c>
      <c r="L26" s="47"/>
      <c r="M26" s="47"/>
      <c r="N26" s="47"/>
      <c r="O26" s="48"/>
      <c r="P26" s="148"/>
      <c r="Q26" s="47"/>
      <c r="R26" s="47"/>
      <c r="S26" s="47"/>
      <c r="T26" s="161"/>
      <c r="U26" s="104" t="s">
        <v>22</v>
      </c>
      <c r="V26" s="47"/>
      <c r="W26" s="47"/>
      <c r="X26" s="47"/>
      <c r="Y26" s="48"/>
      <c r="Z26" s="149">
        <f>AAS!BB7+AAS!BB24+AAS!BB39+AAS!BB62</f>
        <v>9420.4</v>
      </c>
      <c r="AA26" s="47"/>
      <c r="AB26" s="47"/>
      <c r="AC26" s="47"/>
      <c r="AD26" s="48"/>
      <c r="AE26" s="148"/>
      <c r="AF26" s="47"/>
      <c r="AG26" s="47"/>
      <c r="AH26" s="47"/>
      <c r="AI26" s="161"/>
      <c r="AX26" s="117"/>
      <c r="BM26" s="117"/>
      <c r="BN26" s="17"/>
      <c r="BO26" s="17"/>
    </row>
    <row r="27" ht="21.0" customHeight="1">
      <c r="A27" s="17"/>
      <c r="B27" s="183" t="s">
        <v>223</v>
      </c>
      <c r="C27" s="47"/>
      <c r="D27" s="193"/>
      <c r="E27" s="168"/>
      <c r="F27" s="207" t="s">
        <v>371</v>
      </c>
      <c r="G27" s="47"/>
      <c r="H27" s="47"/>
      <c r="I27" s="47"/>
      <c r="J27" s="48"/>
      <c r="K27" s="189">
        <v>0.0</v>
      </c>
      <c r="L27" s="47"/>
      <c r="M27" s="47"/>
      <c r="N27" s="47"/>
      <c r="O27" s="48"/>
      <c r="P27" s="148"/>
      <c r="Q27" s="47"/>
      <c r="R27" s="47"/>
      <c r="S27" s="47"/>
      <c r="T27" s="161"/>
      <c r="U27" s="104" t="s">
        <v>3</v>
      </c>
      <c r="V27" s="47"/>
      <c r="W27" s="47"/>
      <c r="X27" s="47"/>
      <c r="Y27" s="48"/>
      <c r="Z27" s="149">
        <f>AAS!BB8+AAS!BB25+AAS!BB40+AAS!BB63</f>
        <v>9736.1</v>
      </c>
      <c r="AA27" s="47"/>
      <c r="AB27" s="47"/>
      <c r="AC27" s="47"/>
      <c r="AD27" s="48"/>
      <c r="AE27" s="148"/>
      <c r="AF27" s="47"/>
      <c r="AG27" s="47"/>
      <c r="AH27" s="47"/>
      <c r="AI27" s="161"/>
      <c r="AX27" s="117"/>
      <c r="BM27" s="117"/>
      <c r="BN27" s="17"/>
      <c r="BO27" s="17"/>
    </row>
    <row r="28" ht="21.0" customHeight="1">
      <c r="A28" s="17"/>
      <c r="B28" s="183" t="s">
        <v>374</v>
      </c>
      <c r="C28" s="183"/>
      <c r="D28" s="193"/>
      <c r="E28" s="168"/>
      <c r="F28" s="208" t="s">
        <v>375</v>
      </c>
      <c r="G28" s="47"/>
      <c r="H28" s="47"/>
      <c r="I28" s="47"/>
      <c r="J28" s="48"/>
      <c r="K28" s="189">
        <v>0.0</v>
      </c>
      <c r="L28" s="47"/>
      <c r="M28" s="47"/>
      <c r="N28" s="47"/>
      <c r="O28" s="48"/>
      <c r="P28" s="148"/>
      <c r="Q28" s="47"/>
      <c r="R28" s="47"/>
      <c r="S28" s="47"/>
      <c r="T28" s="161"/>
      <c r="U28" s="104" t="s">
        <v>4</v>
      </c>
      <c r="V28" s="47"/>
      <c r="W28" s="47"/>
      <c r="X28" s="47"/>
      <c r="Y28" s="48"/>
      <c r="Z28" s="149">
        <f>AAS!BB9+AAS!BB26+AAS!BB41+AAS!BB64</f>
        <v>18591.97</v>
      </c>
      <c r="AA28" s="47"/>
      <c r="AB28" s="47"/>
      <c r="AC28" s="47"/>
      <c r="AD28" s="48"/>
      <c r="AE28" s="148"/>
      <c r="AF28" s="47"/>
      <c r="AG28" s="47"/>
      <c r="AH28" s="47"/>
      <c r="AI28" s="161"/>
      <c r="AX28" s="117"/>
      <c r="BM28" s="117"/>
      <c r="BN28" s="17"/>
      <c r="BO28" s="17"/>
    </row>
    <row r="29" ht="21.0" customHeight="1">
      <c r="A29" s="17"/>
      <c r="B29" s="183" t="s">
        <v>264</v>
      </c>
      <c r="C29" s="183"/>
      <c r="D29" s="193"/>
      <c r="E29" s="168"/>
      <c r="F29" s="208" t="s">
        <v>377</v>
      </c>
      <c r="G29" s="47"/>
      <c r="H29" s="47"/>
      <c r="I29" s="47"/>
      <c r="J29" s="48"/>
      <c r="K29" s="189">
        <v>6669.65</v>
      </c>
      <c r="L29" s="47"/>
      <c r="M29" s="47"/>
      <c r="N29" s="47"/>
      <c r="O29" s="48"/>
      <c r="P29" s="148"/>
      <c r="Q29" s="47"/>
      <c r="R29" s="47"/>
      <c r="S29" s="47"/>
      <c r="T29" s="161"/>
      <c r="U29" s="104" t="s">
        <v>5</v>
      </c>
      <c r="V29" s="47"/>
      <c r="W29" s="47"/>
      <c r="X29" s="47"/>
      <c r="Y29" s="48"/>
      <c r="Z29" s="149">
        <f>AAS!BB10+AAS!BB27+AAS!BB42+AAS!BB65</f>
        <v>35792.81</v>
      </c>
      <c r="AA29" s="47"/>
      <c r="AB29" s="47"/>
      <c r="AC29" s="47"/>
      <c r="AD29" s="48"/>
      <c r="AE29" s="148"/>
      <c r="AF29" s="47"/>
      <c r="AG29" s="47"/>
      <c r="AH29" s="47"/>
      <c r="AI29" s="161"/>
      <c r="AX29" s="117"/>
      <c r="BM29" s="117"/>
      <c r="BN29" s="17"/>
      <c r="BO29" s="17"/>
    </row>
    <row r="30" ht="21.0" customHeight="1">
      <c r="A30" s="17"/>
      <c r="B30" s="183"/>
      <c r="C30" s="183"/>
      <c r="D30" s="193"/>
      <c r="E30" s="176"/>
      <c r="F30" s="178"/>
      <c r="G30" s="47"/>
      <c r="H30" s="47"/>
      <c r="I30" s="47"/>
      <c r="J30" s="48"/>
      <c r="K30" s="148"/>
      <c r="L30" s="47"/>
      <c r="M30" s="47"/>
      <c r="N30" s="47"/>
      <c r="O30" s="48"/>
      <c r="P30" s="148"/>
      <c r="Q30" s="47"/>
      <c r="R30" s="47"/>
      <c r="S30" s="47"/>
      <c r="T30" s="161"/>
      <c r="U30" s="178"/>
      <c r="V30" s="47"/>
      <c r="W30" s="47"/>
      <c r="X30" s="47"/>
      <c r="Y30" s="48"/>
      <c r="Z30" s="148"/>
      <c r="AA30" s="47"/>
      <c r="AB30" s="47"/>
      <c r="AC30" s="47"/>
      <c r="AD30" s="48"/>
      <c r="AE30" s="148"/>
      <c r="AF30" s="47"/>
      <c r="AG30" s="47"/>
      <c r="AH30" s="47"/>
      <c r="AI30" s="161"/>
      <c r="AX30" s="117"/>
      <c r="BM30" s="117"/>
      <c r="BN30" s="17"/>
      <c r="BO30" s="17"/>
    </row>
    <row r="31" ht="21.0" customHeight="1">
      <c r="A31" s="17"/>
      <c r="B31" s="183"/>
      <c r="C31" s="47"/>
      <c r="D31" s="193"/>
      <c r="E31" s="194"/>
      <c r="F31" s="178"/>
      <c r="G31" s="47"/>
      <c r="H31" s="47"/>
      <c r="I31" s="47"/>
      <c r="J31" s="48"/>
      <c r="K31" s="148"/>
      <c r="L31" s="47"/>
      <c r="M31" s="47"/>
      <c r="N31" s="47"/>
      <c r="O31" s="48"/>
      <c r="P31" s="148"/>
      <c r="Q31" s="47"/>
      <c r="R31" s="47"/>
      <c r="S31" s="47"/>
      <c r="T31" s="161"/>
      <c r="U31" s="178"/>
      <c r="V31" s="47"/>
      <c r="W31" s="47"/>
      <c r="X31" s="47"/>
      <c r="Y31" s="48"/>
      <c r="Z31" s="148"/>
      <c r="AA31" s="47"/>
      <c r="AB31" s="47"/>
      <c r="AC31" s="47"/>
      <c r="AD31" s="48"/>
      <c r="AE31" s="148"/>
      <c r="AF31" s="47"/>
      <c r="AG31" s="47"/>
      <c r="AH31" s="47"/>
      <c r="AI31" s="161"/>
      <c r="AX31" s="117"/>
      <c r="BM31" s="117"/>
      <c r="BN31" s="17"/>
      <c r="BO31" s="17"/>
    </row>
    <row r="32" ht="21.0" customHeight="1">
      <c r="A32" s="17"/>
      <c r="B32" s="183"/>
      <c r="C32" s="47"/>
      <c r="D32" s="193"/>
      <c r="E32" s="194"/>
      <c r="F32" s="178"/>
      <c r="G32" s="47"/>
      <c r="H32" s="47"/>
      <c r="I32" s="47"/>
      <c r="J32" s="48"/>
      <c r="K32" s="148"/>
      <c r="L32" s="47"/>
      <c r="M32" s="47"/>
      <c r="N32" s="47"/>
      <c r="O32" s="48"/>
      <c r="P32" s="148"/>
      <c r="Q32" s="47"/>
      <c r="R32" s="47"/>
      <c r="S32" s="47"/>
      <c r="T32" s="161"/>
      <c r="U32" s="178"/>
      <c r="V32" s="47"/>
      <c r="W32" s="47"/>
      <c r="X32" s="47"/>
      <c r="Y32" s="48"/>
      <c r="Z32" s="148"/>
      <c r="AA32" s="47"/>
      <c r="AB32" s="47"/>
      <c r="AC32" s="47"/>
      <c r="AD32" s="48"/>
      <c r="AE32" s="148"/>
      <c r="AF32" s="47"/>
      <c r="AG32" s="47"/>
      <c r="AH32" s="47"/>
      <c r="AI32" s="161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8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8"/>
      <c r="BN32" s="17"/>
      <c r="BO32" s="17"/>
    </row>
    <row r="33" ht="21.0" customHeight="1">
      <c r="A33" s="17"/>
      <c r="B33" s="169" t="s">
        <v>378</v>
      </c>
      <c r="C33" s="36"/>
      <c r="D33" s="36"/>
      <c r="E33" s="36"/>
      <c r="F33" s="171"/>
      <c r="G33" s="36"/>
      <c r="H33" s="36"/>
      <c r="I33" s="36"/>
      <c r="J33" s="36"/>
      <c r="K33" s="172"/>
      <c r="L33" s="36"/>
      <c r="M33" s="36"/>
      <c r="N33" s="36"/>
      <c r="O33" s="36"/>
      <c r="P33" s="172"/>
      <c r="Q33" s="36"/>
      <c r="R33" s="36"/>
      <c r="S33" s="36"/>
      <c r="T33" s="156"/>
      <c r="U33" s="171"/>
      <c r="V33" s="36"/>
      <c r="W33" s="36"/>
      <c r="X33" s="36"/>
      <c r="Y33" s="36"/>
      <c r="Z33" s="172"/>
      <c r="AA33" s="36"/>
      <c r="AB33" s="36"/>
      <c r="AC33" s="36"/>
      <c r="AD33" s="36"/>
      <c r="AE33" s="172"/>
      <c r="AF33" s="36"/>
      <c r="AG33" s="36"/>
      <c r="AH33" s="36"/>
      <c r="AI33" s="156"/>
      <c r="AJ33" s="172"/>
      <c r="AK33" s="36"/>
      <c r="AL33" s="36"/>
      <c r="AM33" s="36"/>
      <c r="AN33" s="36"/>
      <c r="AO33" s="172"/>
      <c r="AP33" s="36"/>
      <c r="AQ33" s="36"/>
      <c r="AR33" s="36"/>
      <c r="AS33" s="36"/>
      <c r="AT33" s="172"/>
      <c r="AU33" s="36"/>
      <c r="AV33" s="36"/>
      <c r="AW33" s="36"/>
      <c r="AX33" s="156"/>
      <c r="AY33" s="172"/>
      <c r="AZ33" s="36"/>
      <c r="BA33" s="36"/>
      <c r="BB33" s="36"/>
      <c r="BC33" s="36"/>
      <c r="BD33" s="172"/>
      <c r="BE33" s="36"/>
      <c r="BF33" s="36"/>
      <c r="BG33" s="36"/>
      <c r="BH33" s="36"/>
      <c r="BI33" s="172"/>
      <c r="BJ33" s="36"/>
      <c r="BK33" s="36"/>
      <c r="BL33" s="36"/>
      <c r="BM33" s="156"/>
      <c r="BN33" s="17"/>
      <c r="BO33" s="17"/>
    </row>
    <row r="34" ht="21.0" customHeight="1">
      <c r="A34" s="17"/>
      <c r="B34" s="183" t="s">
        <v>381</v>
      </c>
      <c r="C34" s="47"/>
      <c r="D34" s="57"/>
      <c r="E34" s="44"/>
      <c r="F34" s="209">
        <v>75500.0</v>
      </c>
      <c r="G34" s="47"/>
      <c r="H34" s="47"/>
      <c r="I34" s="47"/>
      <c r="J34" s="47"/>
      <c r="K34" s="210">
        <f>SUM(K35:O38)</f>
        <v>0</v>
      </c>
      <c r="L34" s="47"/>
      <c r="M34" s="47"/>
      <c r="N34" s="47"/>
      <c r="O34" s="48"/>
      <c r="P34" s="211">
        <f>F34-K34</f>
        <v>75500</v>
      </c>
      <c r="Q34" s="47"/>
      <c r="R34" s="47"/>
      <c r="S34" s="47"/>
      <c r="T34" s="161"/>
      <c r="U34" s="209">
        <v>74300.0</v>
      </c>
      <c r="V34" s="47"/>
      <c r="W34" s="47"/>
      <c r="X34" s="47"/>
      <c r="Y34" s="47"/>
      <c r="Z34" s="212">
        <f>sum(Z35:AD38)</f>
        <v>28627.5</v>
      </c>
      <c r="AA34" s="47"/>
      <c r="AB34" s="47"/>
      <c r="AC34" s="47"/>
      <c r="AD34" s="48"/>
      <c r="AE34" s="213">
        <f>U34-Z34</f>
        <v>45672.5</v>
      </c>
      <c r="AF34" s="47"/>
      <c r="AG34" s="47"/>
      <c r="AH34" s="47"/>
      <c r="AI34" s="161"/>
      <c r="AJ34" s="214"/>
      <c r="AY34" s="198"/>
      <c r="BM34" s="117"/>
      <c r="BN34" s="17"/>
      <c r="BO34" s="17"/>
    </row>
    <row r="35" ht="21.0" customHeight="1">
      <c r="A35" s="17"/>
      <c r="B35" s="183" t="s">
        <v>383</v>
      </c>
      <c r="C35" s="47"/>
      <c r="D35" s="57"/>
      <c r="E35" s="44"/>
      <c r="F35" s="207" t="s">
        <v>369</v>
      </c>
      <c r="G35" s="47"/>
      <c r="H35" s="47"/>
      <c r="I35" s="47"/>
      <c r="J35" s="48"/>
      <c r="K35" s="189">
        <v>0.0</v>
      </c>
      <c r="L35" s="47"/>
      <c r="M35" s="47"/>
      <c r="N35" s="47"/>
      <c r="O35" s="48"/>
      <c r="P35" s="148"/>
      <c r="Q35" s="47"/>
      <c r="R35" s="47"/>
      <c r="S35" s="47"/>
      <c r="T35" s="161"/>
      <c r="U35" s="104" t="s">
        <v>22</v>
      </c>
      <c r="V35" s="47"/>
      <c r="W35" s="47"/>
      <c r="X35" s="47"/>
      <c r="Y35" s="48"/>
      <c r="Z35" s="149">
        <f>PPM!BB7</f>
        <v>1126.06</v>
      </c>
      <c r="AA35" s="47"/>
      <c r="AB35" s="47"/>
      <c r="AC35" s="47"/>
      <c r="AD35" s="48"/>
      <c r="AE35" s="148"/>
      <c r="AF35" s="47"/>
      <c r="AG35" s="47"/>
      <c r="AH35" s="47"/>
      <c r="AI35" s="161"/>
      <c r="AJ35" s="215"/>
      <c r="AY35" s="215"/>
      <c r="BM35" s="117"/>
      <c r="BN35" s="17"/>
      <c r="BO35" s="17"/>
    </row>
    <row r="36" ht="21.0" customHeight="1">
      <c r="A36" s="17"/>
      <c r="B36" s="183" t="s">
        <v>384</v>
      </c>
      <c r="C36" s="47"/>
      <c r="D36" s="57"/>
      <c r="E36" s="168"/>
      <c r="F36" s="207" t="s">
        <v>371</v>
      </c>
      <c r="G36" s="47"/>
      <c r="H36" s="47"/>
      <c r="I36" s="47"/>
      <c r="J36" s="48"/>
      <c r="K36" s="189">
        <v>0.0</v>
      </c>
      <c r="L36" s="47"/>
      <c r="M36" s="47"/>
      <c r="N36" s="47"/>
      <c r="O36" s="48"/>
      <c r="P36" s="148"/>
      <c r="Q36" s="47"/>
      <c r="R36" s="47"/>
      <c r="S36" s="47"/>
      <c r="T36" s="161"/>
      <c r="U36" s="104" t="s">
        <v>3</v>
      </c>
      <c r="V36" s="47"/>
      <c r="W36" s="47"/>
      <c r="X36" s="47"/>
      <c r="Y36" s="48"/>
      <c r="Z36" s="149">
        <f>PPM!BB8</f>
        <v>8089.85</v>
      </c>
      <c r="AA36" s="47"/>
      <c r="AB36" s="47"/>
      <c r="AC36" s="47"/>
      <c r="AD36" s="48"/>
      <c r="AE36" s="148"/>
      <c r="AF36" s="47"/>
      <c r="AG36" s="47"/>
      <c r="AH36" s="47"/>
      <c r="AI36" s="161"/>
      <c r="AJ36" s="215"/>
      <c r="AY36" s="215"/>
      <c r="BM36" s="117"/>
      <c r="BN36" s="17"/>
      <c r="BO36" s="17"/>
    </row>
    <row r="37" ht="21.0" customHeight="1">
      <c r="A37" s="17"/>
      <c r="B37" s="183"/>
      <c r="C37" s="47"/>
      <c r="D37" s="57"/>
      <c r="E37" s="168"/>
      <c r="F37" s="208" t="s">
        <v>375</v>
      </c>
      <c r="G37" s="47"/>
      <c r="H37" s="47"/>
      <c r="I37" s="47"/>
      <c r="J37" s="48"/>
      <c r="K37" s="189">
        <v>0.0</v>
      </c>
      <c r="L37" s="47"/>
      <c r="M37" s="47"/>
      <c r="N37" s="47"/>
      <c r="O37" s="48"/>
      <c r="P37" s="148"/>
      <c r="Q37" s="47"/>
      <c r="R37" s="47"/>
      <c r="S37" s="47"/>
      <c r="T37" s="161"/>
      <c r="U37" s="104" t="s">
        <v>4</v>
      </c>
      <c r="V37" s="47"/>
      <c r="W37" s="47"/>
      <c r="X37" s="47"/>
      <c r="Y37" s="48"/>
      <c r="Z37" s="149">
        <f>PPM!BB9</f>
        <v>2638.25</v>
      </c>
      <c r="AA37" s="47"/>
      <c r="AB37" s="47"/>
      <c r="AC37" s="47"/>
      <c r="AD37" s="48"/>
      <c r="AE37" s="148"/>
      <c r="AF37" s="47"/>
      <c r="AG37" s="47"/>
      <c r="AH37" s="47"/>
      <c r="AI37" s="161"/>
      <c r="AJ37" s="215"/>
      <c r="AY37" s="215"/>
      <c r="BM37" s="117"/>
      <c r="BN37" s="17"/>
      <c r="BO37" s="17"/>
    </row>
    <row r="38" ht="21.0" customHeight="1">
      <c r="A38" s="17"/>
      <c r="B38" s="183"/>
      <c r="C38" s="47"/>
      <c r="D38" s="57"/>
      <c r="E38" s="168"/>
      <c r="F38" s="208" t="s">
        <v>377</v>
      </c>
      <c r="G38" s="47"/>
      <c r="H38" s="47"/>
      <c r="I38" s="47"/>
      <c r="J38" s="48"/>
      <c r="K38" s="189">
        <v>0.0</v>
      </c>
      <c r="L38" s="47"/>
      <c r="M38" s="47"/>
      <c r="N38" s="47"/>
      <c r="O38" s="48"/>
      <c r="P38" s="148"/>
      <c r="Q38" s="47"/>
      <c r="R38" s="47"/>
      <c r="S38" s="47"/>
      <c r="T38" s="161"/>
      <c r="U38" s="104" t="s">
        <v>5</v>
      </c>
      <c r="V38" s="47"/>
      <c r="W38" s="47"/>
      <c r="X38" s="47"/>
      <c r="Y38" s="48"/>
      <c r="Z38" s="149">
        <f>PPM!BB10</f>
        <v>16773.34</v>
      </c>
      <c r="AA38" s="47"/>
      <c r="AB38" s="47"/>
      <c r="AC38" s="47"/>
      <c r="AD38" s="48"/>
      <c r="AE38" s="148"/>
      <c r="AF38" s="47"/>
      <c r="AG38" s="47"/>
      <c r="AH38" s="47"/>
      <c r="AI38" s="161"/>
      <c r="AJ38" s="215"/>
      <c r="AY38" s="215"/>
      <c r="BM38" s="117"/>
      <c r="BN38" s="17"/>
      <c r="BO38" s="17"/>
    </row>
    <row r="39" ht="21.0" customHeight="1">
      <c r="A39" s="17"/>
      <c r="B39" s="183"/>
      <c r="C39" s="47"/>
      <c r="D39" s="57"/>
      <c r="E39" s="168"/>
      <c r="F39" s="178"/>
      <c r="G39" s="47"/>
      <c r="H39" s="47"/>
      <c r="I39" s="47"/>
      <c r="J39" s="48"/>
      <c r="K39" s="148"/>
      <c r="L39" s="47"/>
      <c r="M39" s="47"/>
      <c r="N39" s="47"/>
      <c r="O39" s="48"/>
      <c r="P39" s="148"/>
      <c r="Q39" s="47"/>
      <c r="R39" s="47"/>
      <c r="S39" s="47"/>
      <c r="T39" s="161"/>
      <c r="U39" s="178"/>
      <c r="V39" s="47"/>
      <c r="W39" s="47"/>
      <c r="X39" s="47"/>
      <c r="Y39" s="48"/>
      <c r="Z39" s="148"/>
      <c r="AA39" s="47"/>
      <c r="AB39" s="47"/>
      <c r="AC39" s="47"/>
      <c r="AD39" s="48"/>
      <c r="AE39" s="148"/>
      <c r="AF39" s="47"/>
      <c r="AG39" s="47"/>
      <c r="AH39" s="47"/>
      <c r="AI39" s="161"/>
      <c r="AJ39" s="215"/>
      <c r="AY39" s="215"/>
      <c r="BM39" s="117"/>
      <c r="BN39" s="17"/>
      <c r="BO39" s="17"/>
    </row>
    <row r="40" ht="21.0" customHeight="1">
      <c r="A40" s="17"/>
      <c r="B40" s="183"/>
      <c r="C40" s="47"/>
      <c r="D40" s="57"/>
      <c r="E40" s="44"/>
      <c r="F40" s="178"/>
      <c r="G40" s="47"/>
      <c r="H40" s="47"/>
      <c r="I40" s="47"/>
      <c r="J40" s="48"/>
      <c r="K40" s="148"/>
      <c r="L40" s="47"/>
      <c r="M40" s="47"/>
      <c r="N40" s="47"/>
      <c r="O40" s="48"/>
      <c r="P40" s="148"/>
      <c r="Q40" s="47"/>
      <c r="R40" s="47"/>
      <c r="S40" s="47"/>
      <c r="T40" s="161"/>
      <c r="U40" s="178"/>
      <c r="V40" s="47"/>
      <c r="W40" s="47"/>
      <c r="X40" s="47"/>
      <c r="Y40" s="48"/>
      <c r="Z40" s="148"/>
      <c r="AA40" s="47"/>
      <c r="AB40" s="47"/>
      <c r="AC40" s="47"/>
      <c r="AD40" s="48"/>
      <c r="AE40" s="148"/>
      <c r="AF40" s="47"/>
      <c r="AG40" s="47"/>
      <c r="AH40" s="47"/>
      <c r="AI40" s="161"/>
      <c r="AJ40" s="215"/>
      <c r="AY40" s="215"/>
      <c r="BM40" s="117"/>
      <c r="BN40" s="17"/>
      <c r="BO40" s="17"/>
    </row>
    <row r="41" ht="21.0" customHeight="1">
      <c r="A41" s="17"/>
      <c r="B41" s="183"/>
      <c r="C41" s="47"/>
      <c r="D41" s="57"/>
      <c r="E41" s="44"/>
      <c r="F41" s="178"/>
      <c r="G41" s="47"/>
      <c r="H41" s="47"/>
      <c r="I41" s="47"/>
      <c r="J41" s="48"/>
      <c r="K41" s="148"/>
      <c r="L41" s="47"/>
      <c r="M41" s="47"/>
      <c r="N41" s="47"/>
      <c r="O41" s="48"/>
      <c r="P41" s="148"/>
      <c r="Q41" s="47"/>
      <c r="R41" s="47"/>
      <c r="S41" s="47"/>
      <c r="T41" s="161"/>
      <c r="U41" s="178"/>
      <c r="V41" s="47"/>
      <c r="W41" s="47"/>
      <c r="X41" s="47"/>
      <c r="Y41" s="48"/>
      <c r="Z41" s="148"/>
      <c r="AA41" s="47"/>
      <c r="AB41" s="47"/>
      <c r="AC41" s="47"/>
      <c r="AD41" s="48"/>
      <c r="AE41" s="148"/>
      <c r="AF41" s="47"/>
      <c r="AG41" s="47"/>
      <c r="AH41" s="47"/>
      <c r="AI41" s="161"/>
      <c r="AJ41" s="216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216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8"/>
      <c r="BN41" s="17"/>
      <c r="BO41" s="17"/>
    </row>
    <row r="42" ht="21.0" customHeight="1">
      <c r="A42" s="17"/>
      <c r="B42" s="183" t="s">
        <v>388</v>
      </c>
      <c r="C42" s="47"/>
      <c r="D42" s="57"/>
      <c r="E42" s="44"/>
      <c r="F42" s="209">
        <v>66000.0</v>
      </c>
      <c r="G42" s="47"/>
      <c r="H42" s="47"/>
      <c r="I42" s="47"/>
      <c r="J42" s="47"/>
      <c r="K42" s="210">
        <f>SUM(K43:O46)</f>
        <v>0</v>
      </c>
      <c r="L42" s="47"/>
      <c r="M42" s="47"/>
      <c r="N42" s="47"/>
      <c r="O42" s="48"/>
      <c r="P42" s="211">
        <f>F42-K42</f>
        <v>66000</v>
      </c>
      <c r="Q42" s="47"/>
      <c r="R42" s="47"/>
      <c r="S42" s="47"/>
      <c r="T42" s="161"/>
      <c r="U42" s="209">
        <v>99700.0</v>
      </c>
      <c r="V42" s="47"/>
      <c r="W42" s="47"/>
      <c r="X42" s="47"/>
      <c r="Y42" s="47"/>
      <c r="Z42" s="212">
        <f>sum(Z43:AD46)</f>
        <v>55265.33</v>
      </c>
      <c r="AA42" s="47"/>
      <c r="AB42" s="47"/>
      <c r="AC42" s="47"/>
      <c r="AD42" s="48"/>
      <c r="AE42" s="213">
        <f>U42-Z42</f>
        <v>44434.67</v>
      </c>
      <c r="AF42" s="47"/>
      <c r="AG42" s="47"/>
      <c r="AH42" s="47"/>
      <c r="AI42" s="161"/>
      <c r="AJ42" s="214"/>
      <c r="AY42" s="198"/>
      <c r="BM42" s="117"/>
      <c r="BN42" s="17"/>
      <c r="BO42" s="17"/>
    </row>
    <row r="43" ht="21.0" customHeight="1">
      <c r="A43" s="17"/>
      <c r="B43" s="183" t="s">
        <v>389</v>
      </c>
      <c r="C43" s="47"/>
      <c r="D43" s="57"/>
      <c r="E43" s="44"/>
      <c r="F43" s="207" t="s">
        <v>369</v>
      </c>
      <c r="G43" s="47"/>
      <c r="H43" s="47"/>
      <c r="I43" s="47"/>
      <c r="J43" s="48"/>
      <c r="K43" s="189">
        <v>0.0</v>
      </c>
      <c r="L43" s="47"/>
      <c r="M43" s="47"/>
      <c r="N43" s="47"/>
      <c r="O43" s="48"/>
      <c r="P43" s="148"/>
      <c r="Q43" s="47"/>
      <c r="R43" s="47"/>
      <c r="S43" s="47"/>
      <c r="T43" s="161"/>
      <c r="U43" s="104" t="s">
        <v>22</v>
      </c>
      <c r="V43" s="47"/>
      <c r="W43" s="47"/>
      <c r="X43" s="47"/>
      <c r="Y43" s="48"/>
      <c r="Z43" s="149">
        <f>PPM!BB41</f>
        <v>2224.29</v>
      </c>
      <c r="AA43" s="47"/>
      <c r="AB43" s="47"/>
      <c r="AC43" s="47"/>
      <c r="AD43" s="48"/>
      <c r="AE43" s="148"/>
      <c r="AF43" s="47"/>
      <c r="AG43" s="47"/>
      <c r="AH43" s="47"/>
      <c r="AI43" s="161"/>
      <c r="AJ43" s="215"/>
      <c r="AY43" s="215"/>
      <c r="BM43" s="117"/>
      <c r="BN43" s="17"/>
      <c r="BO43" s="17"/>
    </row>
    <row r="44" ht="21.0" customHeight="1">
      <c r="A44" s="17"/>
      <c r="B44" s="183" t="s">
        <v>392</v>
      </c>
      <c r="C44" s="47"/>
      <c r="D44" s="57"/>
      <c r="E44" s="168"/>
      <c r="F44" s="207" t="s">
        <v>371</v>
      </c>
      <c r="G44" s="47"/>
      <c r="H44" s="47"/>
      <c r="I44" s="47"/>
      <c r="J44" s="48"/>
      <c r="K44" s="189">
        <v>0.0</v>
      </c>
      <c r="L44" s="47"/>
      <c r="M44" s="47"/>
      <c r="N44" s="47"/>
      <c r="O44" s="48"/>
      <c r="P44" s="148"/>
      <c r="Q44" s="47"/>
      <c r="R44" s="47"/>
      <c r="S44" s="47"/>
      <c r="T44" s="161"/>
      <c r="U44" s="104" t="s">
        <v>3</v>
      </c>
      <c r="V44" s="47"/>
      <c r="W44" s="47"/>
      <c r="X44" s="47"/>
      <c r="Y44" s="48"/>
      <c r="Z44" s="149">
        <f>PPM!BB42</f>
        <v>15711.36</v>
      </c>
      <c r="AA44" s="47"/>
      <c r="AB44" s="47"/>
      <c r="AC44" s="47"/>
      <c r="AD44" s="48"/>
      <c r="AE44" s="148"/>
      <c r="AF44" s="47"/>
      <c r="AG44" s="47"/>
      <c r="AH44" s="47"/>
      <c r="AI44" s="161"/>
      <c r="AJ44" s="215"/>
      <c r="AY44" s="215"/>
      <c r="BM44" s="117"/>
      <c r="BN44" s="17"/>
      <c r="BO44" s="17"/>
    </row>
    <row r="45" ht="21.0" customHeight="1">
      <c r="A45" s="17"/>
      <c r="B45" s="183"/>
      <c r="C45" s="47"/>
      <c r="D45" s="57"/>
      <c r="E45" s="168"/>
      <c r="F45" s="208" t="s">
        <v>375</v>
      </c>
      <c r="G45" s="47"/>
      <c r="H45" s="47"/>
      <c r="I45" s="47"/>
      <c r="J45" s="48"/>
      <c r="K45" s="189">
        <v>0.0</v>
      </c>
      <c r="L45" s="47"/>
      <c r="M45" s="47"/>
      <c r="N45" s="47"/>
      <c r="O45" s="48"/>
      <c r="P45" s="148"/>
      <c r="Q45" s="47"/>
      <c r="R45" s="47"/>
      <c r="S45" s="47"/>
      <c r="T45" s="161"/>
      <c r="U45" s="104" t="s">
        <v>4</v>
      </c>
      <c r="V45" s="47"/>
      <c r="W45" s="47"/>
      <c r="X45" s="47"/>
      <c r="Y45" s="48"/>
      <c r="Z45" s="149">
        <f>PPM!BB43</f>
        <v>14371.02</v>
      </c>
      <c r="AA45" s="47"/>
      <c r="AB45" s="47"/>
      <c r="AC45" s="47"/>
      <c r="AD45" s="48"/>
      <c r="AE45" s="148"/>
      <c r="AF45" s="47"/>
      <c r="AG45" s="47"/>
      <c r="AH45" s="47"/>
      <c r="AI45" s="161"/>
      <c r="AJ45" s="215"/>
      <c r="AY45" s="215"/>
      <c r="BM45" s="117"/>
      <c r="BN45" s="17"/>
      <c r="BO45" s="17"/>
    </row>
    <row r="46" ht="21.0" customHeight="1">
      <c r="A46" s="17"/>
      <c r="B46" s="183"/>
      <c r="C46" s="47"/>
      <c r="D46" s="57"/>
      <c r="E46" s="168"/>
      <c r="F46" s="208" t="s">
        <v>377</v>
      </c>
      <c r="G46" s="47"/>
      <c r="H46" s="47"/>
      <c r="I46" s="47"/>
      <c r="J46" s="48"/>
      <c r="K46" s="189">
        <v>0.0</v>
      </c>
      <c r="L46" s="47"/>
      <c r="M46" s="47"/>
      <c r="N46" s="47"/>
      <c r="O46" s="48"/>
      <c r="P46" s="148"/>
      <c r="Q46" s="47"/>
      <c r="R46" s="47"/>
      <c r="S46" s="47"/>
      <c r="T46" s="161"/>
      <c r="U46" s="104" t="s">
        <v>5</v>
      </c>
      <c r="V46" s="47"/>
      <c r="W46" s="47"/>
      <c r="X46" s="47"/>
      <c r="Y46" s="48"/>
      <c r="Z46" s="149">
        <f>PPM!BB44</f>
        <v>22958.66</v>
      </c>
      <c r="AA46" s="47"/>
      <c r="AB46" s="47"/>
      <c r="AC46" s="47"/>
      <c r="AD46" s="48"/>
      <c r="AE46" s="148"/>
      <c r="AF46" s="47"/>
      <c r="AG46" s="47"/>
      <c r="AH46" s="47"/>
      <c r="AI46" s="161"/>
      <c r="AJ46" s="215"/>
      <c r="AY46" s="215"/>
      <c r="BM46" s="117"/>
      <c r="BN46" s="17"/>
      <c r="BO46" s="17"/>
    </row>
    <row r="47" ht="21.0" customHeight="1">
      <c r="A47" s="17"/>
      <c r="B47" s="183"/>
      <c r="C47" s="47"/>
      <c r="D47" s="57"/>
      <c r="E47" s="168"/>
      <c r="F47" s="178"/>
      <c r="G47" s="47"/>
      <c r="H47" s="47"/>
      <c r="I47" s="47"/>
      <c r="J47" s="48"/>
      <c r="K47" s="148"/>
      <c r="L47" s="47"/>
      <c r="M47" s="47"/>
      <c r="N47" s="47"/>
      <c r="O47" s="48"/>
      <c r="P47" s="148"/>
      <c r="Q47" s="47"/>
      <c r="R47" s="47"/>
      <c r="S47" s="47"/>
      <c r="T47" s="161"/>
      <c r="U47" s="178"/>
      <c r="V47" s="47"/>
      <c r="W47" s="47"/>
      <c r="X47" s="47"/>
      <c r="Y47" s="48"/>
      <c r="Z47" s="148"/>
      <c r="AA47" s="47"/>
      <c r="AB47" s="47"/>
      <c r="AC47" s="47"/>
      <c r="AD47" s="48"/>
      <c r="AE47" s="148"/>
      <c r="AF47" s="47"/>
      <c r="AG47" s="47"/>
      <c r="AH47" s="47"/>
      <c r="AI47" s="161"/>
      <c r="AJ47" s="215"/>
      <c r="AY47" s="215"/>
      <c r="BM47" s="117"/>
      <c r="BN47" s="17"/>
      <c r="BO47" s="17"/>
    </row>
    <row r="48" ht="21.0" customHeight="1">
      <c r="A48" s="17"/>
      <c r="B48" s="183"/>
      <c r="C48" s="47"/>
      <c r="D48" s="57"/>
      <c r="E48" s="44"/>
      <c r="F48" s="178"/>
      <c r="G48" s="47"/>
      <c r="H48" s="47"/>
      <c r="I48" s="47"/>
      <c r="J48" s="48"/>
      <c r="K48" s="148"/>
      <c r="L48" s="47"/>
      <c r="M48" s="47"/>
      <c r="N48" s="47"/>
      <c r="O48" s="48"/>
      <c r="P48" s="148"/>
      <c r="Q48" s="47"/>
      <c r="R48" s="47"/>
      <c r="S48" s="47"/>
      <c r="T48" s="161"/>
      <c r="U48" s="178"/>
      <c r="V48" s="47"/>
      <c r="W48" s="47"/>
      <c r="X48" s="47"/>
      <c r="Y48" s="48"/>
      <c r="Z48" s="148"/>
      <c r="AA48" s="47"/>
      <c r="AB48" s="47"/>
      <c r="AC48" s="47"/>
      <c r="AD48" s="48"/>
      <c r="AE48" s="148"/>
      <c r="AF48" s="47"/>
      <c r="AG48" s="47"/>
      <c r="AH48" s="47"/>
      <c r="AI48" s="161"/>
      <c r="AJ48" s="215"/>
      <c r="AY48" s="215"/>
      <c r="BM48" s="117"/>
      <c r="BN48" s="17"/>
      <c r="BO48" s="17"/>
    </row>
    <row r="49" ht="21.0" customHeight="1">
      <c r="A49" s="17"/>
      <c r="B49" s="183"/>
      <c r="C49" s="47"/>
      <c r="D49" s="193"/>
      <c r="E49" s="194"/>
      <c r="F49" s="178"/>
      <c r="G49" s="47"/>
      <c r="H49" s="47"/>
      <c r="I49" s="47"/>
      <c r="J49" s="48"/>
      <c r="K49" s="148"/>
      <c r="L49" s="47"/>
      <c r="M49" s="47"/>
      <c r="N49" s="47"/>
      <c r="O49" s="48"/>
      <c r="P49" s="148"/>
      <c r="Q49" s="47"/>
      <c r="R49" s="47"/>
      <c r="S49" s="47"/>
      <c r="T49" s="161"/>
      <c r="U49" s="178"/>
      <c r="V49" s="47"/>
      <c r="W49" s="47"/>
      <c r="X49" s="47"/>
      <c r="Y49" s="48"/>
      <c r="Z49" s="148"/>
      <c r="AA49" s="47"/>
      <c r="AB49" s="47"/>
      <c r="AC49" s="47"/>
      <c r="AD49" s="48"/>
      <c r="AE49" s="148"/>
      <c r="AF49" s="47"/>
      <c r="AG49" s="47"/>
      <c r="AH49" s="47"/>
      <c r="AI49" s="161"/>
      <c r="AJ49" s="216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216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8"/>
      <c r="BN49" s="17"/>
      <c r="BO49" s="17"/>
    </row>
    <row r="50" ht="21.0" customHeight="1">
      <c r="A50" s="17"/>
      <c r="B50" s="92" t="s">
        <v>393</v>
      </c>
      <c r="C50" s="36"/>
      <c r="D50" s="36"/>
      <c r="E50" s="36"/>
      <c r="F50" s="217" t="s">
        <v>394</v>
      </c>
      <c r="G50" s="36"/>
      <c r="H50" s="36"/>
      <c r="I50" s="36"/>
      <c r="J50" s="36"/>
      <c r="K50" s="218" t="s">
        <v>395</v>
      </c>
      <c r="L50" s="36"/>
      <c r="M50" s="36"/>
      <c r="N50" s="36"/>
      <c r="O50" s="36"/>
      <c r="P50" s="218" t="s">
        <v>396</v>
      </c>
      <c r="Q50" s="36"/>
      <c r="R50" s="36"/>
      <c r="S50" s="36"/>
      <c r="T50" s="156"/>
      <c r="U50" s="219" t="s">
        <v>397</v>
      </c>
      <c r="V50" s="36"/>
      <c r="W50" s="36"/>
      <c r="X50" s="36"/>
      <c r="Y50" s="36"/>
      <c r="Z50" s="220" t="s">
        <v>398</v>
      </c>
      <c r="AA50" s="36"/>
      <c r="AB50" s="36"/>
      <c r="AC50" s="36"/>
      <c r="AD50" s="36"/>
      <c r="AE50" s="220" t="s">
        <v>399</v>
      </c>
      <c r="AF50" s="36"/>
      <c r="AG50" s="36"/>
      <c r="AH50" s="36"/>
      <c r="AI50" s="156"/>
      <c r="AJ50" s="96"/>
      <c r="AK50" s="36"/>
      <c r="AL50" s="36"/>
      <c r="AM50" s="36"/>
      <c r="AN50" s="36"/>
      <c r="AO50" s="96"/>
      <c r="AP50" s="36"/>
      <c r="AQ50" s="36"/>
      <c r="AR50" s="36"/>
      <c r="AS50" s="36"/>
      <c r="AT50" s="96"/>
      <c r="AU50" s="36"/>
      <c r="AV50" s="36"/>
      <c r="AW50" s="36"/>
      <c r="AX50" s="156"/>
      <c r="AY50" s="96"/>
      <c r="AZ50" s="36"/>
      <c r="BA50" s="36"/>
      <c r="BB50" s="36"/>
      <c r="BC50" s="36"/>
      <c r="BD50" s="96"/>
      <c r="BE50" s="36"/>
      <c r="BF50" s="36"/>
      <c r="BG50" s="36"/>
      <c r="BH50" s="36"/>
      <c r="BI50" s="96"/>
      <c r="BJ50" s="36"/>
      <c r="BK50" s="36"/>
      <c r="BL50" s="36"/>
      <c r="BM50" s="156"/>
      <c r="BN50" s="17"/>
      <c r="BO50" s="17"/>
    </row>
    <row r="51" ht="21.0" customHeight="1">
      <c r="A51" s="17"/>
      <c r="B51" s="221" t="s">
        <v>335</v>
      </c>
      <c r="C51" s="47"/>
      <c r="D51" s="57"/>
      <c r="E51" s="57"/>
      <c r="F51" s="222">
        <v>2.0</v>
      </c>
      <c r="G51" s="47"/>
      <c r="H51" s="47"/>
      <c r="I51" s="47"/>
      <c r="J51" s="48"/>
      <c r="K51" s="223">
        <v>313.6</v>
      </c>
      <c r="L51" s="47"/>
      <c r="M51" s="47"/>
      <c r="N51" s="47"/>
      <c r="O51" s="48"/>
      <c r="P51" s="223">
        <v>13.6</v>
      </c>
      <c r="Q51" s="47"/>
      <c r="R51" s="47"/>
      <c r="S51" s="47"/>
      <c r="T51" s="161"/>
      <c r="U51" s="224">
        <v>1.0</v>
      </c>
      <c r="V51" s="47"/>
      <c r="W51" s="47"/>
      <c r="X51" s="47"/>
      <c r="Y51" s="48"/>
      <c r="Z51" s="151">
        <f>SUM('RC'!BB44:BF47)</f>
        <v>156.8</v>
      </c>
      <c r="AA51" s="47"/>
      <c r="AB51" s="47"/>
      <c r="AC51" s="47"/>
      <c r="AD51" s="48"/>
      <c r="AE51" s="137">
        <f t="shared" ref="AE51:AE52" si="1">6.8*U51</f>
        <v>6.8</v>
      </c>
      <c r="AF51" s="47"/>
      <c r="AG51" s="47"/>
      <c r="AH51" s="47"/>
      <c r="AI51" s="161"/>
      <c r="AJ51" s="225"/>
      <c r="AX51" s="117"/>
      <c r="AY51" s="225"/>
      <c r="BM51" s="117"/>
      <c r="BN51" s="17"/>
      <c r="BO51" s="17"/>
    </row>
    <row r="52" ht="21.0" customHeight="1">
      <c r="A52" s="17"/>
      <c r="B52" s="221" t="s">
        <v>354</v>
      </c>
      <c r="C52" s="47"/>
      <c r="D52" s="57"/>
      <c r="E52" s="57"/>
      <c r="F52" s="208">
        <v>12.0</v>
      </c>
      <c r="G52" s="47"/>
      <c r="H52" s="47"/>
      <c r="I52" s="47"/>
      <c r="J52" s="48"/>
      <c r="K52" s="226">
        <v>2185.47</v>
      </c>
      <c r="L52" s="47"/>
      <c r="M52" s="47"/>
      <c r="N52" s="47"/>
      <c r="O52" s="48"/>
      <c r="P52" s="226">
        <v>81.6</v>
      </c>
      <c r="Q52" s="47"/>
      <c r="R52" s="47"/>
      <c r="S52" s="47"/>
      <c r="T52" s="161"/>
      <c r="U52" s="227">
        <v>16.0</v>
      </c>
      <c r="V52" s="47"/>
      <c r="W52" s="47"/>
      <c r="X52" s="47"/>
      <c r="Y52" s="48"/>
      <c r="Z52" s="54">
        <f>SUM(CASE!BB104:BF107)</f>
        <v>2342.11</v>
      </c>
      <c r="AA52" s="47"/>
      <c r="AB52" s="47"/>
      <c r="AC52" s="47"/>
      <c r="AD52" s="48"/>
      <c r="AE52" s="228">
        <f t="shared" si="1"/>
        <v>108.8</v>
      </c>
      <c r="AF52" s="47"/>
      <c r="AG52" s="47"/>
      <c r="AH52" s="47"/>
      <c r="AI52" s="161"/>
      <c r="AX52" s="117"/>
      <c r="BM52" s="117"/>
      <c r="BN52" s="17"/>
      <c r="BO52" s="17"/>
    </row>
    <row r="53" ht="21.0" customHeight="1">
      <c r="A53" s="17"/>
      <c r="B53" s="221" t="s">
        <v>365</v>
      </c>
      <c r="C53" s="47"/>
      <c r="D53" s="57"/>
      <c r="E53" s="57"/>
      <c r="F53" s="222"/>
      <c r="G53" s="47"/>
      <c r="H53" s="47"/>
      <c r="I53" s="47"/>
      <c r="J53" s="48"/>
      <c r="K53" s="229">
        <v>0.0</v>
      </c>
      <c r="L53" s="47"/>
      <c r="M53" s="47"/>
      <c r="N53" s="47"/>
      <c r="O53" s="48"/>
      <c r="P53" s="229"/>
      <c r="Q53" s="47"/>
      <c r="R53" s="47"/>
      <c r="S53" s="47"/>
      <c r="T53" s="161"/>
      <c r="U53" s="224"/>
      <c r="V53" s="47"/>
      <c r="W53" s="47"/>
      <c r="X53" s="47"/>
      <c r="Y53" s="48"/>
      <c r="Z53" s="151">
        <f>SUM(AAS!BB82:BF85)</f>
        <v>0</v>
      </c>
      <c r="AA53" s="47"/>
      <c r="AB53" s="47"/>
      <c r="AC53" s="47"/>
      <c r="AD53" s="48"/>
      <c r="AE53" s="151"/>
      <c r="AF53" s="47"/>
      <c r="AG53" s="47"/>
      <c r="AH53" s="47"/>
      <c r="AI53" s="161"/>
      <c r="AX53" s="117"/>
      <c r="BM53" s="117"/>
      <c r="BN53" s="17"/>
      <c r="BO53" s="17"/>
    </row>
    <row r="54" ht="21.0" customHeight="1">
      <c r="A54" s="17"/>
      <c r="B54" s="221" t="s">
        <v>378</v>
      </c>
      <c r="C54" s="47"/>
      <c r="D54" s="57"/>
      <c r="E54" s="57"/>
      <c r="F54" s="208"/>
      <c r="G54" s="47"/>
      <c r="H54" s="47"/>
      <c r="I54" s="47"/>
      <c r="J54" s="48"/>
      <c r="K54" s="230">
        <v>0.0</v>
      </c>
      <c r="L54" s="47"/>
      <c r="M54" s="47"/>
      <c r="N54" s="47"/>
      <c r="O54" s="48"/>
      <c r="P54" s="230"/>
      <c r="Q54" s="47"/>
      <c r="R54" s="47"/>
      <c r="S54" s="47"/>
      <c r="T54" s="161"/>
      <c r="U54" s="227"/>
      <c r="V54" s="47"/>
      <c r="W54" s="47"/>
      <c r="X54" s="47"/>
      <c r="Y54" s="48"/>
      <c r="Z54" s="54">
        <f>SUM(PPM!BB82:BF85)</f>
        <v>0</v>
      </c>
      <c r="AA54" s="47"/>
      <c r="AB54" s="47"/>
      <c r="AC54" s="47"/>
      <c r="AD54" s="48"/>
      <c r="AE54" s="54"/>
      <c r="AF54" s="47"/>
      <c r="AG54" s="47"/>
      <c r="AH54" s="47"/>
      <c r="AI54" s="161"/>
      <c r="AX54" s="117"/>
      <c r="BM54" s="117"/>
      <c r="BN54" s="17"/>
      <c r="BO54" s="17"/>
    </row>
    <row r="55" ht="21.0" customHeight="1">
      <c r="A55" s="17"/>
      <c r="B55" s="221"/>
      <c r="C55" s="47"/>
      <c r="D55" s="57"/>
      <c r="E55" s="57"/>
      <c r="F55" s="224"/>
      <c r="G55" s="47"/>
      <c r="H55" s="47"/>
      <c r="I55" s="47"/>
      <c r="J55" s="48"/>
      <c r="K55" s="108"/>
      <c r="L55" s="47"/>
      <c r="M55" s="47"/>
      <c r="N55" s="47"/>
      <c r="O55" s="48"/>
      <c r="P55" s="151"/>
      <c r="Q55" s="47"/>
      <c r="R55" s="47"/>
      <c r="S55" s="47"/>
      <c r="T55" s="161"/>
      <c r="U55" s="224"/>
      <c r="V55" s="47"/>
      <c r="W55" s="47"/>
      <c r="X55" s="47"/>
      <c r="Y55" s="48"/>
      <c r="Z55" s="108"/>
      <c r="AA55" s="47"/>
      <c r="AB55" s="47"/>
      <c r="AC55" s="47"/>
      <c r="AD55" s="48"/>
      <c r="AE55" s="151"/>
      <c r="AF55" s="47"/>
      <c r="AG55" s="47"/>
      <c r="AH55" s="47"/>
      <c r="AI55" s="161"/>
      <c r="AX55" s="117"/>
      <c r="BM55" s="117"/>
      <c r="BN55" s="17"/>
      <c r="BO55" s="17"/>
    </row>
    <row r="56" ht="21.0" customHeight="1">
      <c r="A56" s="17"/>
      <c r="B56" s="221"/>
      <c r="C56" s="47"/>
      <c r="D56" s="193"/>
      <c r="E56" s="194"/>
      <c r="F56" s="178"/>
      <c r="G56" s="47"/>
      <c r="H56" s="47"/>
      <c r="I56" s="47"/>
      <c r="J56" s="48"/>
      <c r="K56" s="59"/>
      <c r="L56" s="47"/>
      <c r="M56" s="47"/>
      <c r="N56" s="47"/>
      <c r="O56" s="48"/>
      <c r="P56" s="59"/>
      <c r="Q56" s="47"/>
      <c r="R56" s="47"/>
      <c r="S56" s="47"/>
      <c r="T56" s="161"/>
      <c r="U56" s="178"/>
      <c r="V56" s="47"/>
      <c r="W56" s="47"/>
      <c r="X56" s="47"/>
      <c r="Y56" s="48"/>
      <c r="Z56" s="148"/>
      <c r="AA56" s="47"/>
      <c r="AB56" s="47"/>
      <c r="AC56" s="47"/>
      <c r="AD56" s="48"/>
      <c r="AE56" s="148"/>
      <c r="AF56" s="47"/>
      <c r="AG56" s="47"/>
      <c r="AH56" s="47"/>
      <c r="AI56" s="161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8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8"/>
      <c r="BN56" s="17"/>
      <c r="BO56" s="17"/>
    </row>
    <row r="57" ht="21.0" customHeight="1">
      <c r="A57" s="17"/>
      <c r="B57" s="17"/>
      <c r="C57" s="17"/>
      <c r="D57" s="17"/>
      <c r="E57" s="114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</row>
    <row r="58" ht="21.0" customHeight="1">
      <c r="A58" s="17"/>
      <c r="B58" s="17"/>
      <c r="C58" s="17"/>
      <c r="D58" s="17"/>
      <c r="E58" s="114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</row>
    <row r="59" ht="21.0" customHeight="1">
      <c r="A59" s="17"/>
      <c r="B59" s="17"/>
      <c r="C59" s="17"/>
      <c r="D59" s="17"/>
      <c r="E59" s="114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</row>
    <row r="60" ht="21.0" customHeight="1">
      <c r="A60" s="17"/>
      <c r="B60" s="17"/>
      <c r="C60" s="17"/>
      <c r="D60" s="17"/>
      <c r="E60" s="114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</row>
  </sheetData>
  <mergeCells count="410">
    <mergeCell ref="U5:Y5"/>
    <mergeCell ref="Z5:AD5"/>
    <mergeCell ref="U6:Y6"/>
    <mergeCell ref="Z6:AD6"/>
    <mergeCell ref="U7:Y7"/>
    <mergeCell ref="Z7:AD7"/>
    <mergeCell ref="U8:Y8"/>
    <mergeCell ref="Z8:AD8"/>
    <mergeCell ref="K5:O5"/>
    <mergeCell ref="P5:T5"/>
    <mergeCell ref="K6:O6"/>
    <mergeCell ref="P6:T6"/>
    <mergeCell ref="K7:O7"/>
    <mergeCell ref="P7:T7"/>
    <mergeCell ref="P8:T8"/>
    <mergeCell ref="K8:O8"/>
    <mergeCell ref="K10:O10"/>
    <mergeCell ref="P10:T10"/>
    <mergeCell ref="U10:Y10"/>
    <mergeCell ref="Z10:AD10"/>
    <mergeCell ref="AE10:AI10"/>
    <mergeCell ref="F10:J10"/>
    <mergeCell ref="F11:J11"/>
    <mergeCell ref="K11:O11"/>
    <mergeCell ref="P11:T11"/>
    <mergeCell ref="U11:Y11"/>
    <mergeCell ref="Z11:AD11"/>
    <mergeCell ref="AE11:AI11"/>
    <mergeCell ref="U13:Y13"/>
    <mergeCell ref="Z13:AD13"/>
    <mergeCell ref="F12:J12"/>
    <mergeCell ref="K12:O12"/>
    <mergeCell ref="P12:T12"/>
    <mergeCell ref="U12:Y12"/>
    <mergeCell ref="Z12:AD12"/>
    <mergeCell ref="AE12:AI12"/>
    <mergeCell ref="F13:J13"/>
    <mergeCell ref="AE13:AI13"/>
    <mergeCell ref="Z14:AD14"/>
    <mergeCell ref="AE14:AI14"/>
    <mergeCell ref="K13:O13"/>
    <mergeCell ref="P13:T13"/>
    <mergeCell ref="B14:C14"/>
    <mergeCell ref="F14:J14"/>
    <mergeCell ref="K14:O14"/>
    <mergeCell ref="P14:T14"/>
    <mergeCell ref="U14:Y14"/>
    <mergeCell ref="AE5:AI5"/>
    <mergeCell ref="AJ5:AN5"/>
    <mergeCell ref="AE6:AI6"/>
    <mergeCell ref="AJ6:AN6"/>
    <mergeCell ref="AE7:AI7"/>
    <mergeCell ref="AE8:AI8"/>
    <mergeCell ref="AO5:AS5"/>
    <mergeCell ref="AT5:AX5"/>
    <mergeCell ref="AO6:AS6"/>
    <mergeCell ref="AT6:AX6"/>
    <mergeCell ref="AJ7:AX14"/>
    <mergeCell ref="AY5:BC5"/>
    <mergeCell ref="BD5:BH5"/>
    <mergeCell ref="AY6:BC6"/>
    <mergeCell ref="BD6:BH6"/>
    <mergeCell ref="BI6:BM6"/>
    <mergeCell ref="AY7:BM14"/>
    <mergeCell ref="F2:K2"/>
    <mergeCell ref="L2:Y2"/>
    <mergeCell ref="B4:C5"/>
    <mergeCell ref="F4:T4"/>
    <mergeCell ref="U4:AI4"/>
    <mergeCell ref="AJ4:AX4"/>
    <mergeCell ref="AY4:BM4"/>
    <mergeCell ref="BI5:BM5"/>
    <mergeCell ref="F8:J8"/>
    <mergeCell ref="F9:J9"/>
    <mergeCell ref="K9:O9"/>
    <mergeCell ref="P9:T9"/>
    <mergeCell ref="U9:Y9"/>
    <mergeCell ref="Z9:AD9"/>
    <mergeCell ref="AE9:AI9"/>
    <mergeCell ref="E4:E5"/>
    <mergeCell ref="F5:J5"/>
    <mergeCell ref="B6:E6"/>
    <mergeCell ref="F6:J6"/>
    <mergeCell ref="B7:C7"/>
    <mergeCell ref="F7:J7"/>
    <mergeCell ref="B8:C8"/>
    <mergeCell ref="AJ15:AN15"/>
    <mergeCell ref="AO15:AS15"/>
    <mergeCell ref="AT15:AX15"/>
    <mergeCell ref="AY15:BC15"/>
    <mergeCell ref="BD15:BH15"/>
    <mergeCell ref="BI15:BM15"/>
    <mergeCell ref="K19:O19"/>
    <mergeCell ref="K20:O20"/>
    <mergeCell ref="K16:O16"/>
    <mergeCell ref="P16:T16"/>
    <mergeCell ref="K17:O17"/>
    <mergeCell ref="P17:T17"/>
    <mergeCell ref="K18:O18"/>
    <mergeCell ref="P18:T18"/>
    <mergeCell ref="P19:T19"/>
    <mergeCell ref="P20:T20"/>
    <mergeCell ref="B19:C19"/>
    <mergeCell ref="B20:C20"/>
    <mergeCell ref="F15:J15"/>
    <mergeCell ref="F16:J16"/>
    <mergeCell ref="B17:C17"/>
    <mergeCell ref="F17:J17"/>
    <mergeCell ref="B18:C18"/>
    <mergeCell ref="F18:J18"/>
    <mergeCell ref="F19:J19"/>
    <mergeCell ref="F45:J45"/>
    <mergeCell ref="F46:J46"/>
    <mergeCell ref="F40:J40"/>
    <mergeCell ref="F41:J41"/>
    <mergeCell ref="B42:C42"/>
    <mergeCell ref="F42:J42"/>
    <mergeCell ref="B43:C43"/>
    <mergeCell ref="F43:J43"/>
    <mergeCell ref="F44:J44"/>
    <mergeCell ref="F33:J33"/>
    <mergeCell ref="F34:J34"/>
    <mergeCell ref="B35:C35"/>
    <mergeCell ref="F35:J35"/>
    <mergeCell ref="K35:O35"/>
    <mergeCell ref="P35:T35"/>
    <mergeCell ref="B36:C36"/>
    <mergeCell ref="P36:T36"/>
    <mergeCell ref="F36:J36"/>
    <mergeCell ref="K36:O36"/>
    <mergeCell ref="B37:C37"/>
    <mergeCell ref="F37:J37"/>
    <mergeCell ref="K37:O37"/>
    <mergeCell ref="P37:T37"/>
    <mergeCell ref="P38:T38"/>
    <mergeCell ref="K40:O40"/>
    <mergeCell ref="P40:T40"/>
    <mergeCell ref="B38:C38"/>
    <mergeCell ref="B39:C39"/>
    <mergeCell ref="F39:J39"/>
    <mergeCell ref="K39:O39"/>
    <mergeCell ref="P39:T39"/>
    <mergeCell ref="B40:C40"/>
    <mergeCell ref="B41:C41"/>
    <mergeCell ref="B44:C44"/>
    <mergeCell ref="B45:C45"/>
    <mergeCell ref="B46:C46"/>
    <mergeCell ref="K44:O44"/>
    <mergeCell ref="K45:O45"/>
    <mergeCell ref="K46:O46"/>
    <mergeCell ref="P45:T45"/>
    <mergeCell ref="P46:T46"/>
    <mergeCell ref="K41:O41"/>
    <mergeCell ref="P41:T41"/>
    <mergeCell ref="K42:O42"/>
    <mergeCell ref="P42:T42"/>
    <mergeCell ref="K43:O43"/>
    <mergeCell ref="P43:T43"/>
    <mergeCell ref="P44:T44"/>
    <mergeCell ref="F53:J53"/>
    <mergeCell ref="F54:J54"/>
    <mergeCell ref="F48:J48"/>
    <mergeCell ref="F49:J49"/>
    <mergeCell ref="B50:E50"/>
    <mergeCell ref="F50:J50"/>
    <mergeCell ref="B51:C51"/>
    <mergeCell ref="F51:J51"/>
    <mergeCell ref="F52:J52"/>
    <mergeCell ref="U39:Y39"/>
    <mergeCell ref="Z39:AD39"/>
    <mergeCell ref="U40:Y40"/>
    <mergeCell ref="U41:Y41"/>
    <mergeCell ref="Z41:AD41"/>
    <mergeCell ref="U42:Y42"/>
    <mergeCell ref="Z42:AD42"/>
    <mergeCell ref="P47:T47"/>
    <mergeCell ref="U47:Y47"/>
    <mergeCell ref="U43:Y43"/>
    <mergeCell ref="Z43:AD43"/>
    <mergeCell ref="U46:Y46"/>
    <mergeCell ref="Z46:AD46"/>
    <mergeCell ref="F47:J47"/>
    <mergeCell ref="K47:O47"/>
    <mergeCell ref="Z47:AD47"/>
    <mergeCell ref="B47:C47"/>
    <mergeCell ref="B48:C48"/>
    <mergeCell ref="K48:O48"/>
    <mergeCell ref="P48:T48"/>
    <mergeCell ref="U48:Y48"/>
    <mergeCell ref="Z48:AD48"/>
    <mergeCell ref="B49:C49"/>
    <mergeCell ref="B52:C52"/>
    <mergeCell ref="B53:C53"/>
    <mergeCell ref="B54:C54"/>
    <mergeCell ref="U52:Y52"/>
    <mergeCell ref="U53:Y53"/>
    <mergeCell ref="K54:O54"/>
    <mergeCell ref="P54:T54"/>
    <mergeCell ref="U54:Y54"/>
    <mergeCell ref="Z54:AD54"/>
    <mergeCell ref="U49:Y49"/>
    <mergeCell ref="Z49:AD49"/>
    <mergeCell ref="U50:Y50"/>
    <mergeCell ref="Z50:AD50"/>
    <mergeCell ref="U51:Y51"/>
    <mergeCell ref="Z51:AD51"/>
    <mergeCell ref="Z52:AD52"/>
    <mergeCell ref="B15:E15"/>
    <mergeCell ref="K15:O15"/>
    <mergeCell ref="P15:T15"/>
    <mergeCell ref="U15:Y15"/>
    <mergeCell ref="Z15:AD15"/>
    <mergeCell ref="AE15:AI15"/>
    <mergeCell ref="B16:C16"/>
    <mergeCell ref="AE16:AI16"/>
    <mergeCell ref="U18:Y18"/>
    <mergeCell ref="Z18:AD18"/>
    <mergeCell ref="U17:Y17"/>
    <mergeCell ref="U19:Y19"/>
    <mergeCell ref="Z19:AD19"/>
    <mergeCell ref="AE19:AI19"/>
    <mergeCell ref="U20:Y20"/>
    <mergeCell ref="Z20:AD20"/>
    <mergeCell ref="U22:Y22"/>
    <mergeCell ref="Z22:AD22"/>
    <mergeCell ref="F20:J20"/>
    <mergeCell ref="F21:J21"/>
    <mergeCell ref="K21:O21"/>
    <mergeCell ref="P21:T21"/>
    <mergeCell ref="F22:J22"/>
    <mergeCell ref="K22:O22"/>
    <mergeCell ref="P22:T22"/>
    <mergeCell ref="AE20:AI20"/>
    <mergeCell ref="U21:Y21"/>
    <mergeCell ref="Z21:AD21"/>
    <mergeCell ref="AE21:AI21"/>
    <mergeCell ref="Z26:AD26"/>
    <mergeCell ref="AE26:AI26"/>
    <mergeCell ref="U27:Y27"/>
    <mergeCell ref="Z27:AD27"/>
    <mergeCell ref="U26:Y26"/>
    <mergeCell ref="U28:Y28"/>
    <mergeCell ref="Z28:AD28"/>
    <mergeCell ref="AE28:AI28"/>
    <mergeCell ref="U29:Y29"/>
    <mergeCell ref="Z29:AD29"/>
    <mergeCell ref="AE29:AI29"/>
    <mergeCell ref="U30:Y30"/>
    <mergeCell ref="AT24:AX24"/>
    <mergeCell ref="AY24:BC24"/>
    <mergeCell ref="BD24:BH24"/>
    <mergeCell ref="BI24:BM24"/>
    <mergeCell ref="K24:O24"/>
    <mergeCell ref="P24:T24"/>
    <mergeCell ref="U24:Y24"/>
    <mergeCell ref="Z24:AD24"/>
    <mergeCell ref="AE24:AI24"/>
    <mergeCell ref="AJ24:AN24"/>
    <mergeCell ref="AO24:AS24"/>
    <mergeCell ref="K25:O25"/>
    <mergeCell ref="P25:T25"/>
    <mergeCell ref="U25:Y25"/>
    <mergeCell ref="Z25:AD25"/>
    <mergeCell ref="AE25:AI25"/>
    <mergeCell ref="B22:C22"/>
    <mergeCell ref="B23:C23"/>
    <mergeCell ref="F23:J23"/>
    <mergeCell ref="K23:O23"/>
    <mergeCell ref="P23:T23"/>
    <mergeCell ref="B24:E24"/>
    <mergeCell ref="B25:C25"/>
    <mergeCell ref="F24:J24"/>
    <mergeCell ref="F25:J25"/>
    <mergeCell ref="B26:C26"/>
    <mergeCell ref="F26:J26"/>
    <mergeCell ref="K26:O26"/>
    <mergeCell ref="P26:T26"/>
    <mergeCell ref="B27:C27"/>
    <mergeCell ref="P27:T27"/>
    <mergeCell ref="F27:J27"/>
    <mergeCell ref="K27:O27"/>
    <mergeCell ref="F28:J28"/>
    <mergeCell ref="K28:O28"/>
    <mergeCell ref="P28:T28"/>
    <mergeCell ref="K29:O29"/>
    <mergeCell ref="P29:T29"/>
    <mergeCell ref="F31:J31"/>
    <mergeCell ref="K31:O31"/>
    <mergeCell ref="P31:T31"/>
    <mergeCell ref="U31:Y31"/>
    <mergeCell ref="F29:J29"/>
    <mergeCell ref="F30:J30"/>
    <mergeCell ref="K30:O30"/>
    <mergeCell ref="P30:T30"/>
    <mergeCell ref="Z30:AD30"/>
    <mergeCell ref="AE30:AI30"/>
    <mergeCell ref="B31:C31"/>
    <mergeCell ref="AY33:BC33"/>
    <mergeCell ref="BD33:BH33"/>
    <mergeCell ref="BI33:BM33"/>
    <mergeCell ref="P33:T33"/>
    <mergeCell ref="U33:Y33"/>
    <mergeCell ref="Z33:AD33"/>
    <mergeCell ref="AE33:AI33"/>
    <mergeCell ref="AJ33:AN33"/>
    <mergeCell ref="AO33:AS33"/>
    <mergeCell ref="AT33:AX33"/>
    <mergeCell ref="K34:O34"/>
    <mergeCell ref="P34:T34"/>
    <mergeCell ref="U34:Y34"/>
    <mergeCell ref="Z34:AD34"/>
    <mergeCell ref="AE34:AI34"/>
    <mergeCell ref="B32:C32"/>
    <mergeCell ref="F32:J32"/>
    <mergeCell ref="K32:O32"/>
    <mergeCell ref="P32:T32"/>
    <mergeCell ref="B33:E33"/>
    <mergeCell ref="K33:O33"/>
    <mergeCell ref="B34:C34"/>
    <mergeCell ref="F38:J38"/>
    <mergeCell ref="K38:O38"/>
    <mergeCell ref="Z31:AD31"/>
    <mergeCell ref="AE31:AI31"/>
    <mergeCell ref="AJ34:AX41"/>
    <mergeCell ref="AY34:BM41"/>
    <mergeCell ref="Z35:AD35"/>
    <mergeCell ref="AE35:AI35"/>
    <mergeCell ref="AE36:AI36"/>
    <mergeCell ref="AE41:AI41"/>
    <mergeCell ref="AE39:AI39"/>
    <mergeCell ref="Z40:AD40"/>
    <mergeCell ref="AE40:AI40"/>
    <mergeCell ref="AE42:AI42"/>
    <mergeCell ref="AJ42:AX49"/>
    <mergeCell ref="AY42:BM49"/>
    <mergeCell ref="AE43:AI43"/>
    <mergeCell ref="BD50:BH50"/>
    <mergeCell ref="BI50:BM50"/>
    <mergeCell ref="AJ51:AX56"/>
    <mergeCell ref="AY51:BM56"/>
    <mergeCell ref="AE48:AI48"/>
    <mergeCell ref="AE49:AI49"/>
    <mergeCell ref="AE50:AI50"/>
    <mergeCell ref="AJ50:AN50"/>
    <mergeCell ref="AO50:AS50"/>
    <mergeCell ref="AT50:AX50"/>
    <mergeCell ref="AY50:BC50"/>
    <mergeCell ref="Z55:AD55"/>
    <mergeCell ref="AE55:AI55"/>
    <mergeCell ref="Z56:AD56"/>
    <mergeCell ref="AE56:AI56"/>
    <mergeCell ref="AE46:AI46"/>
    <mergeCell ref="AE47:AI47"/>
    <mergeCell ref="AE51:AI51"/>
    <mergeCell ref="AE52:AI52"/>
    <mergeCell ref="Z53:AD53"/>
    <mergeCell ref="AE53:AI53"/>
    <mergeCell ref="AE54:AI54"/>
    <mergeCell ref="U16:Y16"/>
    <mergeCell ref="Z16:AD16"/>
    <mergeCell ref="AJ16:AX23"/>
    <mergeCell ref="AY16:BM23"/>
    <mergeCell ref="Z17:AD17"/>
    <mergeCell ref="AE17:AI17"/>
    <mergeCell ref="AE18:AI18"/>
    <mergeCell ref="AE22:AI22"/>
    <mergeCell ref="U23:Y23"/>
    <mergeCell ref="Z23:AD23"/>
    <mergeCell ref="AE23:AI23"/>
    <mergeCell ref="AJ25:AX32"/>
    <mergeCell ref="AY25:BM32"/>
    <mergeCell ref="AE27:AI27"/>
    <mergeCell ref="AE32:AI32"/>
    <mergeCell ref="Z36:AD36"/>
    <mergeCell ref="Z37:AD37"/>
    <mergeCell ref="AE37:AI37"/>
    <mergeCell ref="AE38:AI38"/>
    <mergeCell ref="U32:Y32"/>
    <mergeCell ref="Z32:AD32"/>
    <mergeCell ref="U35:Y35"/>
    <mergeCell ref="U36:Y36"/>
    <mergeCell ref="U37:Y37"/>
    <mergeCell ref="U38:Y38"/>
    <mergeCell ref="Z38:AD38"/>
    <mergeCell ref="U44:Y44"/>
    <mergeCell ref="Z44:AD44"/>
    <mergeCell ref="U45:Y45"/>
    <mergeCell ref="Z45:AD45"/>
    <mergeCell ref="AE44:AI44"/>
    <mergeCell ref="AE45:AI45"/>
    <mergeCell ref="K52:O52"/>
    <mergeCell ref="K53:O53"/>
    <mergeCell ref="B55:C55"/>
    <mergeCell ref="F55:J55"/>
    <mergeCell ref="K55:O55"/>
    <mergeCell ref="B56:C56"/>
    <mergeCell ref="F56:J56"/>
    <mergeCell ref="K56:O56"/>
    <mergeCell ref="P53:T53"/>
    <mergeCell ref="P55:T55"/>
    <mergeCell ref="U55:Y55"/>
    <mergeCell ref="P56:T56"/>
    <mergeCell ref="U56:Y56"/>
    <mergeCell ref="K49:O49"/>
    <mergeCell ref="P49:T49"/>
    <mergeCell ref="K50:O50"/>
    <mergeCell ref="P50:T50"/>
    <mergeCell ref="K51:O51"/>
    <mergeCell ref="P51:T51"/>
    <mergeCell ref="P52:T52"/>
  </mergeCells>
  <printOptions gridLines="1" horizontalCentered="1"/>
  <pageMargins bottom="0.75" footer="0.0" header="0.0" left="0.25" right="0.25" top="0.75"/>
  <pageSetup paperSize="3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3.44" defaultRowHeight="15.0"/>
  <cols>
    <col customWidth="1" min="1" max="1" width="3.78"/>
    <col customWidth="1" min="2" max="2" width="16.89"/>
    <col customWidth="1" min="3" max="3" width="15.78"/>
    <col customWidth="1" min="4" max="4" width="8.0"/>
    <col customWidth="1" min="5" max="5" width="6.78"/>
    <col customWidth="1" min="6" max="6" width="12.44"/>
    <col customWidth="1" min="7" max="7" width="12.33"/>
    <col customWidth="1" min="8" max="8" width="4.0"/>
    <col customWidth="1" min="9" max="63" width="3.0"/>
  </cols>
  <sheetData>
    <row r="1" ht="21.0" customHeight="1">
      <c r="A1" s="1"/>
      <c r="B1" s="2"/>
      <c r="C1" s="3"/>
      <c r="D1" s="3"/>
      <c r="E1" s="3"/>
      <c r="F1" s="3"/>
      <c r="G1" s="4"/>
      <c r="H1" s="4"/>
      <c r="I1" s="5"/>
      <c r="J1" s="6"/>
      <c r="K1" s="7"/>
      <c r="L1" s="8"/>
      <c r="M1" s="7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1"/>
      <c r="Z1" s="11"/>
      <c r="AA1" s="11"/>
      <c r="AB1" s="11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</row>
    <row r="2" ht="21.0" customHeight="1">
      <c r="A2" s="10"/>
      <c r="B2" s="72" t="s">
        <v>65</v>
      </c>
      <c r="C2" s="12"/>
      <c r="D2" s="12"/>
      <c r="E2" s="12"/>
      <c r="F2" s="12"/>
      <c r="G2" s="12"/>
      <c r="H2" s="12"/>
      <c r="I2" s="13"/>
      <c r="J2" s="14"/>
      <c r="K2" s="14"/>
      <c r="L2" s="14"/>
      <c r="M2" s="14"/>
      <c r="N2" s="14"/>
      <c r="O2" s="15"/>
      <c r="P2" s="14"/>
      <c r="Q2" s="14"/>
      <c r="R2" s="14"/>
      <c r="S2" s="14"/>
      <c r="T2" s="14"/>
      <c r="U2" s="14"/>
      <c r="V2" s="14"/>
      <c r="W2" s="14"/>
      <c r="X2" s="16"/>
      <c r="Y2" s="16"/>
      <c r="Z2" s="16"/>
      <c r="AA2" s="16"/>
      <c r="AB2" s="16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ht="21.0" customHeight="1">
      <c r="A3" s="17"/>
      <c r="B3" s="18"/>
      <c r="C3" s="18"/>
      <c r="D3" s="18"/>
      <c r="E3" s="18"/>
      <c r="F3" s="18"/>
      <c r="G3" s="18"/>
      <c r="H3" s="19"/>
      <c r="I3" s="18"/>
      <c r="J3" s="18"/>
      <c r="K3" s="18"/>
      <c r="L3" s="18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</row>
    <row r="4" ht="21.0" customHeight="1">
      <c r="A4" s="20"/>
      <c r="B4" s="21"/>
      <c r="D4" s="21"/>
      <c r="E4" s="21"/>
      <c r="I4" s="22" t="s">
        <v>2</v>
      </c>
      <c r="R4" s="23"/>
      <c r="S4" s="22" t="s">
        <v>3</v>
      </c>
      <c r="AB4" s="23"/>
      <c r="AC4" s="24" t="s">
        <v>4</v>
      </c>
      <c r="AL4" s="23"/>
      <c r="AM4" s="24" t="s">
        <v>5</v>
      </c>
      <c r="AV4" s="23"/>
      <c r="AW4" s="25" t="s">
        <v>71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7"/>
    </row>
    <row r="5" ht="21.0" customHeight="1">
      <c r="A5" s="28"/>
      <c r="D5" s="21"/>
      <c r="I5" s="29" t="s">
        <v>7</v>
      </c>
      <c r="J5" s="30"/>
      <c r="K5" s="30"/>
      <c r="L5" s="30"/>
      <c r="M5" s="30"/>
      <c r="N5" s="29" t="s">
        <v>8</v>
      </c>
      <c r="O5" s="30"/>
      <c r="P5" s="30"/>
      <c r="Q5" s="30"/>
      <c r="R5" s="30"/>
      <c r="S5" s="29" t="s">
        <v>7</v>
      </c>
      <c r="T5" s="30"/>
      <c r="U5" s="30"/>
      <c r="V5" s="30"/>
      <c r="W5" s="30"/>
      <c r="X5" s="29" t="s">
        <v>8</v>
      </c>
      <c r="Y5" s="30"/>
      <c r="Z5" s="30"/>
      <c r="AA5" s="30"/>
      <c r="AB5" s="30"/>
      <c r="AC5" s="29" t="s">
        <v>7</v>
      </c>
      <c r="AD5" s="30"/>
      <c r="AE5" s="30"/>
      <c r="AF5" s="30"/>
      <c r="AG5" s="30"/>
      <c r="AH5" s="29" t="s">
        <v>8</v>
      </c>
      <c r="AI5" s="30"/>
      <c r="AJ5" s="30"/>
      <c r="AK5" s="30"/>
      <c r="AL5" s="30"/>
      <c r="AM5" s="29" t="s">
        <v>7</v>
      </c>
      <c r="AN5" s="30"/>
      <c r="AO5" s="30"/>
      <c r="AP5" s="30"/>
      <c r="AQ5" s="30"/>
      <c r="AR5" s="29" t="s">
        <v>8</v>
      </c>
      <c r="AS5" s="30"/>
      <c r="AT5" s="30"/>
      <c r="AU5" s="30"/>
      <c r="AV5" s="30"/>
      <c r="AW5" s="31" t="s">
        <v>9</v>
      </c>
      <c r="AX5" s="30"/>
      <c r="AY5" s="30"/>
      <c r="AZ5" s="30"/>
      <c r="BA5" s="30"/>
      <c r="BB5" s="29" t="s">
        <v>8</v>
      </c>
      <c r="BC5" s="30"/>
      <c r="BD5" s="30"/>
      <c r="BE5" s="30"/>
      <c r="BF5" s="30"/>
      <c r="BG5" s="29" t="s">
        <v>10</v>
      </c>
      <c r="BH5" s="30"/>
      <c r="BI5" s="30"/>
      <c r="BJ5" s="30"/>
      <c r="BK5" s="32"/>
    </row>
    <row r="6" ht="21.0" customHeight="1">
      <c r="A6" s="33"/>
      <c r="B6" s="73" t="s">
        <v>74</v>
      </c>
      <c r="C6" s="73" t="s">
        <v>12</v>
      </c>
      <c r="D6" s="74" t="s">
        <v>13</v>
      </c>
      <c r="E6" s="36"/>
      <c r="F6" s="73" t="s">
        <v>14</v>
      </c>
      <c r="G6" s="73" t="s">
        <v>15</v>
      </c>
      <c r="H6" s="73" t="s">
        <v>16</v>
      </c>
      <c r="I6" s="75"/>
      <c r="J6" s="36"/>
      <c r="K6" s="36"/>
      <c r="L6" s="36"/>
      <c r="M6" s="36"/>
      <c r="N6" s="76"/>
      <c r="O6" s="36"/>
      <c r="P6" s="36"/>
      <c r="Q6" s="36"/>
      <c r="R6" s="36"/>
      <c r="S6" s="75"/>
      <c r="T6" s="36"/>
      <c r="U6" s="36"/>
      <c r="V6" s="36"/>
      <c r="W6" s="36"/>
      <c r="X6" s="76"/>
      <c r="Y6" s="36"/>
      <c r="Z6" s="36"/>
      <c r="AA6" s="36"/>
      <c r="AB6" s="36"/>
      <c r="AC6" s="76"/>
      <c r="AD6" s="36"/>
      <c r="AE6" s="36"/>
      <c r="AF6" s="36"/>
      <c r="AG6" s="36"/>
      <c r="AH6" s="76"/>
      <c r="AI6" s="36"/>
      <c r="AJ6" s="36"/>
      <c r="AK6" s="36"/>
      <c r="AL6" s="36"/>
      <c r="AM6" s="76"/>
      <c r="AN6" s="36"/>
      <c r="AO6" s="36"/>
      <c r="AP6" s="36"/>
      <c r="AQ6" s="36"/>
      <c r="AR6" s="76"/>
      <c r="AS6" s="36"/>
      <c r="AT6" s="36"/>
      <c r="AU6" s="36"/>
      <c r="AV6" s="36"/>
      <c r="AW6" s="77">
        <f>YTD!U7+YTD!U16+YTD!U25+YTD!U34+YTD!U42</f>
        <v>812900</v>
      </c>
      <c r="AX6" s="36"/>
      <c r="AY6" s="36"/>
      <c r="AZ6" s="36"/>
      <c r="BA6" s="36"/>
      <c r="BB6" s="40">
        <f>SUM(YTD!Z7+YTD!Z16+YTD!Z25+YTD!Z34+YTD!Z42)</f>
        <v>334461.85</v>
      </c>
      <c r="BC6" s="36"/>
      <c r="BD6" s="36"/>
      <c r="BE6" s="36"/>
      <c r="BF6" s="36"/>
      <c r="BG6" s="68">
        <f>AW6-BB6</f>
        <v>478438.15</v>
      </c>
      <c r="BH6" s="36"/>
      <c r="BI6" s="36"/>
      <c r="BJ6" s="36"/>
      <c r="BK6" s="42"/>
    </row>
    <row r="7" ht="21.0" customHeight="1">
      <c r="A7" s="78"/>
      <c r="B7" s="44" t="s">
        <v>51</v>
      </c>
      <c r="C7" s="44" t="s">
        <v>52</v>
      </c>
      <c r="D7" s="45">
        <v>44815.0</v>
      </c>
      <c r="E7" s="45">
        <v>44819.0</v>
      </c>
      <c r="F7" s="44" t="s">
        <v>53</v>
      </c>
      <c r="G7" s="44" t="s">
        <v>26</v>
      </c>
      <c r="H7" s="44" t="s">
        <v>21</v>
      </c>
      <c r="I7" s="46">
        <v>2038.84</v>
      </c>
      <c r="J7" s="47"/>
      <c r="K7" s="47"/>
      <c r="L7" s="47"/>
      <c r="M7" s="48"/>
      <c r="N7" s="69">
        <v>1788.63</v>
      </c>
      <c r="O7" s="47"/>
      <c r="P7" s="47"/>
      <c r="Q7" s="47"/>
      <c r="R7" s="48"/>
      <c r="S7" s="50"/>
      <c r="T7" s="47"/>
      <c r="U7" s="47"/>
      <c r="V7" s="47"/>
      <c r="W7" s="48"/>
      <c r="X7" s="61"/>
      <c r="Y7" s="47"/>
      <c r="Z7" s="47"/>
      <c r="AA7" s="47"/>
      <c r="AB7" s="48"/>
      <c r="AC7" s="50"/>
      <c r="AD7" s="47"/>
      <c r="AE7" s="47"/>
      <c r="AF7" s="47"/>
      <c r="AG7" s="48"/>
      <c r="AH7" s="52"/>
      <c r="AI7" s="47"/>
      <c r="AJ7" s="47"/>
      <c r="AK7" s="47"/>
      <c r="AL7" s="48"/>
      <c r="AM7" s="50"/>
      <c r="AN7" s="47"/>
      <c r="AO7" s="47"/>
      <c r="AP7" s="47"/>
      <c r="AQ7" s="48"/>
      <c r="AR7" s="51"/>
      <c r="AS7" s="47"/>
      <c r="AT7" s="47"/>
      <c r="AU7" s="47"/>
      <c r="AV7" s="48"/>
      <c r="AW7" s="79" t="s">
        <v>22</v>
      </c>
      <c r="AX7" s="47"/>
      <c r="AY7" s="47"/>
      <c r="AZ7" s="47"/>
      <c r="BA7" s="48"/>
      <c r="BB7" s="80">
        <f>SUM(N7:R264)</f>
        <v>33395.11</v>
      </c>
      <c r="BC7" s="47"/>
      <c r="BD7" s="47"/>
      <c r="BE7" s="47"/>
      <c r="BF7" s="48"/>
      <c r="BG7" s="81"/>
      <c r="BH7" s="47"/>
      <c r="BI7" s="47"/>
      <c r="BJ7" s="47"/>
      <c r="BK7" s="56"/>
    </row>
    <row r="8" ht="21.0" customHeight="1">
      <c r="A8" s="78"/>
      <c r="B8" s="44" t="s">
        <v>42</v>
      </c>
      <c r="C8" s="44" t="s">
        <v>84</v>
      </c>
      <c r="D8" s="45">
        <v>44846.0</v>
      </c>
      <c r="E8" s="45">
        <v>44848.0</v>
      </c>
      <c r="F8" s="44" t="s">
        <v>85</v>
      </c>
      <c r="G8" s="44" t="s">
        <v>84</v>
      </c>
      <c r="H8" s="44" t="s">
        <v>86</v>
      </c>
      <c r="I8" s="46">
        <v>880.08</v>
      </c>
      <c r="J8" s="47"/>
      <c r="K8" s="47"/>
      <c r="L8" s="47"/>
      <c r="M8" s="48"/>
      <c r="N8" s="82">
        <v>908.59</v>
      </c>
      <c r="O8" s="47"/>
      <c r="P8" s="47"/>
      <c r="Q8" s="47"/>
      <c r="R8" s="48"/>
      <c r="S8" s="50"/>
      <c r="T8" s="47"/>
      <c r="U8" s="47"/>
      <c r="V8" s="47"/>
      <c r="W8" s="48"/>
      <c r="X8" s="51"/>
      <c r="Y8" s="47"/>
      <c r="Z8" s="47"/>
      <c r="AA8" s="47"/>
      <c r="AB8" s="48"/>
      <c r="AC8" s="50"/>
      <c r="AD8" s="47"/>
      <c r="AE8" s="47"/>
      <c r="AF8" s="47"/>
      <c r="AG8" s="48"/>
      <c r="AH8" s="83"/>
      <c r="AI8" s="47"/>
      <c r="AJ8" s="47"/>
      <c r="AK8" s="47"/>
      <c r="AL8" s="47"/>
      <c r="AM8" s="50"/>
      <c r="AN8" s="47"/>
      <c r="AO8" s="47"/>
      <c r="AP8" s="47"/>
      <c r="AQ8" s="48"/>
      <c r="AR8" s="83"/>
      <c r="AS8" s="47"/>
      <c r="AT8" s="47"/>
      <c r="AU8" s="47"/>
      <c r="AV8" s="47"/>
      <c r="AW8" s="79" t="s">
        <v>3</v>
      </c>
      <c r="AX8" s="47"/>
      <c r="AY8" s="47"/>
      <c r="AZ8" s="47"/>
      <c r="BA8" s="48"/>
      <c r="BB8" s="80">
        <f>SUM(X7:AB263)</f>
        <v>79194.71</v>
      </c>
      <c r="BC8" s="47"/>
      <c r="BD8" s="47"/>
      <c r="BE8" s="47"/>
      <c r="BF8" s="48"/>
      <c r="BG8" s="81"/>
      <c r="BH8" s="47"/>
      <c r="BI8" s="47"/>
      <c r="BJ8" s="47"/>
      <c r="BK8" s="56"/>
    </row>
    <row r="9" ht="21.0" customHeight="1">
      <c r="A9" s="78"/>
      <c r="B9" s="44" t="s">
        <v>23</v>
      </c>
      <c r="C9" s="44" t="s">
        <v>24</v>
      </c>
      <c r="D9" s="45">
        <v>44851.0</v>
      </c>
      <c r="E9" s="45">
        <v>44854.0</v>
      </c>
      <c r="F9" s="44" t="s">
        <v>25</v>
      </c>
      <c r="G9" s="44" t="s">
        <v>26</v>
      </c>
      <c r="H9" s="57" t="s">
        <v>27</v>
      </c>
      <c r="I9" s="46">
        <v>1333.38</v>
      </c>
      <c r="J9" s="47"/>
      <c r="K9" s="47"/>
      <c r="L9" s="47"/>
      <c r="M9" s="48"/>
      <c r="N9" s="49">
        <v>1288.08</v>
      </c>
      <c r="O9" s="47"/>
      <c r="P9" s="47"/>
      <c r="Q9" s="47"/>
      <c r="R9" s="48"/>
      <c r="S9" s="50"/>
      <c r="T9" s="47"/>
      <c r="U9" s="47"/>
      <c r="V9" s="47"/>
      <c r="W9" s="48"/>
      <c r="X9" s="51"/>
      <c r="Y9" s="47"/>
      <c r="Z9" s="47"/>
      <c r="AA9" s="47"/>
      <c r="AB9" s="48"/>
      <c r="AC9" s="50"/>
      <c r="AD9" s="47"/>
      <c r="AE9" s="47"/>
      <c r="AF9" s="47"/>
      <c r="AG9" s="48"/>
      <c r="AH9" s="51"/>
      <c r="AI9" s="47"/>
      <c r="AJ9" s="47"/>
      <c r="AK9" s="47"/>
      <c r="AL9" s="48"/>
      <c r="AM9" s="50"/>
      <c r="AN9" s="47"/>
      <c r="AO9" s="47"/>
      <c r="AP9" s="47"/>
      <c r="AQ9" s="48"/>
      <c r="AR9" s="51"/>
      <c r="AS9" s="47"/>
      <c r="AT9" s="47"/>
      <c r="AU9" s="47"/>
      <c r="AV9" s="48"/>
      <c r="AW9" s="79" t="s">
        <v>4</v>
      </c>
      <c r="AX9" s="47"/>
      <c r="AY9" s="47"/>
      <c r="AZ9" s="47"/>
      <c r="BA9" s="48"/>
      <c r="BB9" s="80">
        <f>SUM(AH7:AL263)</f>
        <v>85074.87</v>
      </c>
      <c r="BC9" s="47"/>
      <c r="BD9" s="47"/>
      <c r="BE9" s="47"/>
      <c r="BF9" s="48"/>
      <c r="BG9" s="81"/>
      <c r="BH9" s="47"/>
      <c r="BI9" s="47"/>
      <c r="BJ9" s="47"/>
      <c r="BK9" s="56"/>
    </row>
    <row r="10" ht="21.0" customHeight="1">
      <c r="A10" s="78"/>
      <c r="B10" s="44" t="s">
        <v>93</v>
      </c>
      <c r="C10" s="44" t="s">
        <v>94</v>
      </c>
      <c r="D10" s="45">
        <v>44851.0</v>
      </c>
      <c r="E10" s="84">
        <v>44855.0</v>
      </c>
      <c r="F10" s="44" t="s">
        <v>25</v>
      </c>
      <c r="G10" s="44" t="s">
        <v>26</v>
      </c>
      <c r="H10" s="44" t="s">
        <v>21</v>
      </c>
      <c r="I10" s="85">
        <v>1734.37</v>
      </c>
      <c r="J10" s="47"/>
      <c r="K10" s="47"/>
      <c r="L10" s="47"/>
      <c r="M10" s="48"/>
      <c r="N10" s="86">
        <v>1782.83</v>
      </c>
      <c r="O10" s="47"/>
      <c r="P10" s="47"/>
      <c r="Q10" s="47"/>
      <c r="R10" s="48"/>
      <c r="S10" s="50"/>
      <c r="T10" s="47"/>
      <c r="U10" s="47"/>
      <c r="V10" s="47"/>
      <c r="W10" s="48"/>
      <c r="X10" s="51"/>
      <c r="Y10" s="47"/>
      <c r="Z10" s="47"/>
      <c r="AA10" s="47"/>
      <c r="AB10" s="48"/>
      <c r="AC10" s="50"/>
      <c r="AD10" s="47"/>
      <c r="AE10" s="47"/>
      <c r="AF10" s="47"/>
      <c r="AG10" s="48"/>
      <c r="AH10" s="51"/>
      <c r="AI10" s="47"/>
      <c r="AJ10" s="47"/>
      <c r="AK10" s="47"/>
      <c r="AL10" s="48"/>
      <c r="AM10" s="50"/>
      <c r="AN10" s="47"/>
      <c r="AO10" s="47"/>
      <c r="AP10" s="47"/>
      <c r="AQ10" s="48"/>
      <c r="AR10" s="87"/>
      <c r="AS10" s="47"/>
      <c r="AT10" s="47"/>
      <c r="AU10" s="47"/>
      <c r="AV10" s="47"/>
      <c r="AW10" s="79" t="s">
        <v>5</v>
      </c>
      <c r="AX10" s="47"/>
      <c r="AY10" s="47"/>
      <c r="AZ10" s="47"/>
      <c r="BA10" s="48"/>
      <c r="BB10" s="80">
        <f>sum(AR7:AV264)</f>
        <v>130044.12</v>
      </c>
      <c r="BC10" s="47"/>
      <c r="BD10" s="47"/>
      <c r="BE10" s="47"/>
      <c r="BF10" s="48"/>
      <c r="BG10" s="81"/>
      <c r="BH10" s="47"/>
      <c r="BI10" s="47"/>
      <c r="BJ10" s="47"/>
      <c r="BK10" s="56"/>
    </row>
    <row r="11" ht="21.0" customHeight="1">
      <c r="A11" s="78"/>
      <c r="B11" s="44" t="s">
        <v>99</v>
      </c>
      <c r="C11" s="44" t="s">
        <v>100</v>
      </c>
      <c r="D11" s="45">
        <v>44858.0</v>
      </c>
      <c r="E11" s="45">
        <v>44860.0</v>
      </c>
      <c r="F11" s="44" t="s">
        <v>101</v>
      </c>
      <c r="G11" s="44" t="s">
        <v>59</v>
      </c>
      <c r="H11" s="57" t="s">
        <v>27</v>
      </c>
      <c r="I11" s="46">
        <v>1053.63</v>
      </c>
      <c r="J11" s="47"/>
      <c r="K11" s="47"/>
      <c r="L11" s="47"/>
      <c r="M11" s="48"/>
      <c r="N11" s="82">
        <v>1026.56</v>
      </c>
      <c r="O11" s="47"/>
      <c r="P11" s="47"/>
      <c r="Q11" s="47"/>
      <c r="R11" s="48"/>
      <c r="S11" s="50"/>
      <c r="T11" s="47"/>
      <c r="U11" s="47"/>
      <c r="V11" s="47"/>
      <c r="W11" s="48"/>
      <c r="X11" s="51"/>
      <c r="Y11" s="47"/>
      <c r="Z11" s="47"/>
      <c r="AA11" s="47"/>
      <c r="AB11" s="48"/>
      <c r="AC11" s="50"/>
      <c r="AD11" s="47"/>
      <c r="AE11" s="47"/>
      <c r="AF11" s="47"/>
      <c r="AG11" s="48"/>
      <c r="AH11" s="51"/>
      <c r="AI11" s="47"/>
      <c r="AJ11" s="47"/>
      <c r="AK11" s="47"/>
      <c r="AL11" s="48"/>
      <c r="AM11" s="50"/>
      <c r="AN11" s="47"/>
      <c r="AO11" s="47"/>
      <c r="AP11" s="47"/>
      <c r="AQ11" s="48"/>
      <c r="AR11" s="87"/>
      <c r="AS11" s="47"/>
      <c r="AT11" s="47"/>
      <c r="AU11" s="47"/>
      <c r="AV11" s="47"/>
      <c r="AW11" s="79"/>
      <c r="AX11" s="47"/>
      <c r="AY11" s="47"/>
      <c r="AZ11" s="47"/>
      <c r="BA11" s="48"/>
      <c r="BB11" s="80">
        <f>SUM(BB7:BF10)</f>
        <v>327708.81</v>
      </c>
      <c r="BC11" s="47"/>
      <c r="BD11" s="47"/>
      <c r="BE11" s="47"/>
      <c r="BF11" s="48"/>
      <c r="BG11" s="81"/>
      <c r="BH11" s="47"/>
      <c r="BI11" s="47"/>
      <c r="BJ11" s="47"/>
      <c r="BK11" s="56"/>
    </row>
    <row r="12" ht="21.0" customHeight="1">
      <c r="A12" s="78"/>
      <c r="B12" s="88" t="s">
        <v>103</v>
      </c>
      <c r="C12" s="88" t="s">
        <v>104</v>
      </c>
      <c r="D12" s="89">
        <v>44853.0</v>
      </c>
      <c r="E12" s="89">
        <v>44867.0</v>
      </c>
      <c r="F12" s="88" t="s">
        <v>105</v>
      </c>
      <c r="G12" s="88" t="s">
        <v>59</v>
      </c>
      <c r="H12" s="90" t="s">
        <v>60</v>
      </c>
      <c r="I12" s="46" t="s">
        <v>56</v>
      </c>
      <c r="J12" s="47"/>
      <c r="K12" s="47"/>
      <c r="L12" s="47"/>
      <c r="M12" s="48"/>
      <c r="N12" s="69">
        <v>31.8</v>
      </c>
      <c r="O12" s="47"/>
      <c r="P12" s="47"/>
      <c r="Q12" s="47"/>
      <c r="R12" s="48"/>
      <c r="S12" s="91"/>
      <c r="T12" s="47"/>
      <c r="U12" s="47"/>
      <c r="V12" s="47"/>
      <c r="W12" s="48"/>
      <c r="X12" s="52"/>
      <c r="Y12" s="47"/>
      <c r="Z12" s="47"/>
      <c r="AA12" s="47"/>
      <c r="AB12" s="48"/>
      <c r="AC12" s="50"/>
      <c r="AD12" s="47"/>
      <c r="AE12" s="47"/>
      <c r="AF12" s="47"/>
      <c r="AG12" s="48"/>
      <c r="AH12" s="51"/>
      <c r="AI12" s="47"/>
      <c r="AJ12" s="47"/>
      <c r="AK12" s="47"/>
      <c r="AL12" s="48"/>
      <c r="AM12" s="50"/>
      <c r="AN12" s="47"/>
      <c r="AO12" s="47"/>
      <c r="AP12" s="47"/>
      <c r="AQ12" s="48"/>
      <c r="AR12" s="51"/>
      <c r="AS12" s="47"/>
      <c r="AT12" s="47"/>
      <c r="AU12" s="47"/>
      <c r="AV12" s="48"/>
      <c r="AW12" s="79"/>
      <c r="AX12" s="47"/>
      <c r="AY12" s="47"/>
      <c r="AZ12" s="47"/>
      <c r="BA12" s="48"/>
      <c r="BB12" s="80"/>
      <c r="BC12" s="47"/>
      <c r="BD12" s="47"/>
      <c r="BE12" s="47"/>
      <c r="BF12" s="47"/>
      <c r="BG12" s="81"/>
      <c r="BH12" s="47"/>
      <c r="BI12" s="47"/>
      <c r="BJ12" s="47"/>
      <c r="BK12" s="56"/>
    </row>
    <row r="13" ht="21.0" customHeight="1">
      <c r="A13" s="78"/>
      <c r="B13" s="44" t="s">
        <v>110</v>
      </c>
      <c r="C13" s="44" t="s">
        <v>100</v>
      </c>
      <c r="D13" s="45">
        <v>44858.0</v>
      </c>
      <c r="E13" s="45">
        <v>44862.0</v>
      </c>
      <c r="F13" s="44" t="s">
        <v>101</v>
      </c>
      <c r="G13" s="44" t="s">
        <v>59</v>
      </c>
      <c r="H13" s="57" t="s">
        <v>27</v>
      </c>
      <c r="I13" s="46">
        <v>1396.38</v>
      </c>
      <c r="J13" s="47"/>
      <c r="K13" s="47"/>
      <c r="L13" s="47"/>
      <c r="M13" s="48"/>
      <c r="N13" s="82">
        <v>1358.46</v>
      </c>
      <c r="O13" s="47"/>
      <c r="P13" s="47"/>
      <c r="Q13" s="47"/>
      <c r="R13" s="48"/>
      <c r="S13" s="91"/>
      <c r="T13" s="47"/>
      <c r="U13" s="47"/>
      <c r="V13" s="47"/>
      <c r="W13" s="48"/>
      <c r="X13" s="70"/>
      <c r="Y13" s="47"/>
      <c r="Z13" s="47"/>
      <c r="AA13" s="47"/>
      <c r="AB13" s="48"/>
      <c r="AC13" s="50"/>
      <c r="AD13" s="47"/>
      <c r="AE13" s="47"/>
      <c r="AF13" s="47"/>
      <c r="AG13" s="48"/>
      <c r="AH13" s="51"/>
      <c r="AI13" s="47"/>
      <c r="AJ13" s="47"/>
      <c r="AK13" s="47"/>
      <c r="AL13" s="48"/>
      <c r="AM13" s="50"/>
      <c r="AN13" s="47"/>
      <c r="AO13" s="47"/>
      <c r="AP13" s="47"/>
      <c r="AQ13" s="48"/>
      <c r="AR13" s="51"/>
      <c r="AS13" s="47"/>
      <c r="AT13" s="47"/>
      <c r="AU13" s="47"/>
      <c r="AV13" s="48"/>
      <c r="AW13" s="79"/>
      <c r="AX13" s="47"/>
      <c r="AY13" s="47"/>
      <c r="AZ13" s="47"/>
      <c r="BA13" s="48"/>
      <c r="BB13" s="80"/>
      <c r="BC13" s="47"/>
      <c r="BD13" s="47"/>
      <c r="BE13" s="47"/>
      <c r="BF13" s="47"/>
      <c r="BG13" s="81"/>
      <c r="BH13" s="47"/>
      <c r="BI13" s="47"/>
      <c r="BJ13" s="47"/>
      <c r="BK13" s="56"/>
    </row>
    <row r="14" ht="21.0" customHeight="1">
      <c r="A14" s="78"/>
      <c r="B14" s="44" t="s">
        <v>99</v>
      </c>
      <c r="C14" s="44" t="s">
        <v>112</v>
      </c>
      <c r="D14" s="45">
        <v>44872.0</v>
      </c>
      <c r="E14" s="45">
        <v>44875.0</v>
      </c>
      <c r="F14" s="44" t="s">
        <v>30</v>
      </c>
      <c r="G14" s="44" t="s">
        <v>26</v>
      </c>
      <c r="H14" s="57" t="s">
        <v>21</v>
      </c>
      <c r="I14" s="46">
        <v>1324.22</v>
      </c>
      <c r="J14" s="47"/>
      <c r="K14" s="47"/>
      <c r="L14" s="47"/>
      <c r="M14" s="48"/>
      <c r="N14" s="82">
        <v>1263.15</v>
      </c>
      <c r="O14" s="47"/>
      <c r="P14" s="47"/>
      <c r="Q14" s="47"/>
      <c r="R14" s="48"/>
      <c r="S14" s="91"/>
      <c r="T14" s="47"/>
      <c r="U14" s="47"/>
      <c r="V14" s="47"/>
      <c r="W14" s="48"/>
      <c r="X14" s="61"/>
      <c r="Y14" s="47"/>
      <c r="Z14" s="47"/>
      <c r="AA14" s="47"/>
      <c r="AB14" s="48"/>
      <c r="AC14" s="50"/>
      <c r="AD14" s="47"/>
      <c r="AE14" s="47"/>
      <c r="AF14" s="47"/>
      <c r="AG14" s="48"/>
      <c r="AH14" s="51"/>
      <c r="AI14" s="47"/>
      <c r="AJ14" s="47"/>
      <c r="AK14" s="47"/>
      <c r="AL14" s="48"/>
      <c r="AM14" s="50"/>
      <c r="AN14" s="47"/>
      <c r="AO14" s="47"/>
      <c r="AP14" s="47"/>
      <c r="AQ14" s="48"/>
      <c r="AR14" s="51"/>
      <c r="AS14" s="47"/>
      <c r="AT14" s="47"/>
      <c r="AU14" s="47"/>
      <c r="AV14" s="48"/>
      <c r="AW14" s="79"/>
      <c r="AX14" s="47"/>
      <c r="AY14" s="47"/>
      <c r="AZ14" s="47"/>
      <c r="BA14" s="48"/>
      <c r="BB14" s="80"/>
      <c r="BC14" s="47"/>
      <c r="BD14" s="47"/>
      <c r="BE14" s="47"/>
      <c r="BF14" s="47"/>
      <c r="BG14" s="81"/>
      <c r="BH14" s="47"/>
      <c r="BI14" s="47"/>
      <c r="BJ14" s="47"/>
      <c r="BK14" s="56"/>
    </row>
    <row r="15" ht="21.0" customHeight="1">
      <c r="A15" s="78"/>
      <c r="B15" s="44" t="s">
        <v>118</v>
      </c>
      <c r="C15" s="44" t="s">
        <v>29</v>
      </c>
      <c r="D15" s="102">
        <v>44872.0</v>
      </c>
      <c r="E15" s="45">
        <v>44875.0</v>
      </c>
      <c r="F15" s="44" t="s">
        <v>30</v>
      </c>
      <c r="G15" s="44" t="s">
        <v>26</v>
      </c>
      <c r="H15" s="57" t="s">
        <v>21</v>
      </c>
      <c r="I15" s="46">
        <v>1509.67</v>
      </c>
      <c r="J15" s="47"/>
      <c r="K15" s="47"/>
      <c r="L15" s="47"/>
      <c r="M15" s="48"/>
      <c r="N15" s="69">
        <v>1282.05</v>
      </c>
      <c r="O15" s="47"/>
      <c r="P15" s="47"/>
      <c r="Q15" s="47"/>
      <c r="R15" s="48"/>
      <c r="S15" s="91"/>
      <c r="T15" s="47"/>
      <c r="U15" s="47"/>
      <c r="V15" s="47"/>
      <c r="W15" s="48"/>
      <c r="X15" s="61"/>
      <c r="Y15" s="47"/>
      <c r="Z15" s="47"/>
      <c r="AA15" s="47"/>
      <c r="AB15" s="48"/>
      <c r="AC15" s="50"/>
      <c r="AD15" s="47"/>
      <c r="AE15" s="47"/>
      <c r="AF15" s="47"/>
      <c r="AG15" s="48"/>
      <c r="AH15" s="51"/>
      <c r="AI15" s="47"/>
      <c r="AJ15" s="47"/>
      <c r="AK15" s="47"/>
      <c r="AL15" s="48"/>
      <c r="AM15" s="50"/>
      <c r="AN15" s="47"/>
      <c r="AO15" s="47"/>
      <c r="AP15" s="47"/>
      <c r="AQ15" s="48"/>
      <c r="AR15" s="51"/>
      <c r="AS15" s="47"/>
      <c r="AT15" s="47"/>
      <c r="AU15" s="47"/>
      <c r="AV15" s="48"/>
      <c r="AW15" s="79"/>
      <c r="AX15" s="47"/>
      <c r="AY15" s="47"/>
      <c r="AZ15" s="47"/>
      <c r="BA15" s="48"/>
      <c r="BB15" s="80"/>
      <c r="BC15" s="47"/>
      <c r="BD15" s="47"/>
      <c r="BE15" s="47"/>
      <c r="BF15" s="47"/>
      <c r="BG15" s="81"/>
      <c r="BH15" s="47"/>
      <c r="BI15" s="47"/>
      <c r="BJ15" s="47"/>
      <c r="BK15" s="56"/>
    </row>
    <row r="16" ht="21.0" customHeight="1">
      <c r="A16" s="78"/>
      <c r="B16" s="44" t="s">
        <v>51</v>
      </c>
      <c r="C16" s="44" t="s">
        <v>29</v>
      </c>
      <c r="D16" s="45">
        <v>44872.0</v>
      </c>
      <c r="E16" s="45">
        <v>44875.0</v>
      </c>
      <c r="F16" s="44" t="s">
        <v>30</v>
      </c>
      <c r="G16" s="44" t="s">
        <v>26</v>
      </c>
      <c r="H16" s="57" t="s">
        <v>21</v>
      </c>
      <c r="I16" s="46">
        <v>1559.67</v>
      </c>
      <c r="J16" s="47"/>
      <c r="K16" s="47"/>
      <c r="L16" s="47"/>
      <c r="M16" s="48"/>
      <c r="N16" s="69">
        <v>1152.1</v>
      </c>
      <c r="O16" s="47"/>
      <c r="P16" s="47"/>
      <c r="Q16" s="47"/>
      <c r="R16" s="48"/>
      <c r="S16" s="91"/>
      <c r="T16" s="47"/>
      <c r="U16" s="47"/>
      <c r="V16" s="47"/>
      <c r="W16" s="48"/>
      <c r="X16" s="100"/>
      <c r="Y16" s="47"/>
      <c r="Z16" s="47"/>
      <c r="AA16" s="47"/>
      <c r="AB16" s="48"/>
      <c r="AC16" s="50"/>
      <c r="AD16" s="47"/>
      <c r="AE16" s="47"/>
      <c r="AF16" s="47"/>
      <c r="AG16" s="48"/>
      <c r="AH16" s="51"/>
      <c r="AI16" s="47"/>
      <c r="AJ16" s="47"/>
      <c r="AK16" s="47"/>
      <c r="AL16" s="48"/>
      <c r="AM16" s="50"/>
      <c r="AN16" s="47"/>
      <c r="AO16" s="47"/>
      <c r="AP16" s="47"/>
      <c r="AQ16" s="48"/>
      <c r="AR16" s="51"/>
      <c r="AS16" s="47"/>
      <c r="AT16" s="47"/>
      <c r="AU16" s="47"/>
      <c r="AV16" s="48"/>
      <c r="AW16" s="79"/>
      <c r="AX16" s="47"/>
      <c r="AY16" s="47"/>
      <c r="AZ16" s="47"/>
      <c r="BA16" s="48"/>
      <c r="BB16" s="80"/>
      <c r="BC16" s="47"/>
      <c r="BD16" s="47"/>
      <c r="BE16" s="47"/>
      <c r="BF16" s="47"/>
      <c r="BG16" s="81"/>
      <c r="BH16" s="47"/>
      <c r="BI16" s="47"/>
      <c r="BJ16" s="47"/>
      <c r="BK16" s="56"/>
    </row>
    <row r="17" ht="21.0" customHeight="1">
      <c r="A17" s="78"/>
      <c r="B17" s="44" t="s">
        <v>121</v>
      </c>
      <c r="C17" s="44" t="s">
        <v>29</v>
      </c>
      <c r="D17" s="45">
        <v>44872.0</v>
      </c>
      <c r="E17" s="45">
        <v>44875.0</v>
      </c>
      <c r="F17" s="44" t="s">
        <v>30</v>
      </c>
      <c r="G17" s="44" t="s">
        <v>26</v>
      </c>
      <c r="H17" s="57" t="s">
        <v>21</v>
      </c>
      <c r="I17" s="46">
        <v>1057.65</v>
      </c>
      <c r="J17" s="47"/>
      <c r="K17" s="47"/>
      <c r="L17" s="47"/>
      <c r="M17" s="48"/>
      <c r="N17" s="105">
        <v>1138.4</v>
      </c>
      <c r="O17" s="47"/>
      <c r="P17" s="47"/>
      <c r="Q17" s="47"/>
      <c r="R17" s="48"/>
      <c r="S17" s="91"/>
      <c r="T17" s="47"/>
      <c r="U17" s="47"/>
      <c r="V17" s="47"/>
      <c r="W17" s="48"/>
      <c r="X17" s="61"/>
      <c r="Y17" s="47"/>
      <c r="Z17" s="47"/>
      <c r="AA17" s="47"/>
      <c r="AB17" s="48"/>
      <c r="AC17" s="50"/>
      <c r="AD17" s="47"/>
      <c r="AE17" s="47"/>
      <c r="AF17" s="47"/>
      <c r="AG17" s="48"/>
      <c r="AH17" s="51"/>
      <c r="AI17" s="47"/>
      <c r="AJ17" s="47"/>
      <c r="AK17" s="47"/>
      <c r="AL17" s="48"/>
      <c r="AM17" s="50"/>
      <c r="AN17" s="47"/>
      <c r="AO17" s="47"/>
      <c r="AP17" s="47"/>
      <c r="AQ17" s="48"/>
      <c r="AR17" s="51"/>
      <c r="AS17" s="47"/>
      <c r="AT17" s="47"/>
      <c r="AU17" s="47"/>
      <c r="AV17" s="48"/>
      <c r="AW17" s="79"/>
      <c r="AX17" s="47"/>
      <c r="AY17" s="47"/>
      <c r="AZ17" s="47"/>
      <c r="BA17" s="48"/>
      <c r="BB17" s="80"/>
      <c r="BC17" s="47"/>
      <c r="BD17" s="47"/>
      <c r="BE17" s="47"/>
      <c r="BF17" s="47"/>
      <c r="BG17" s="81"/>
      <c r="BH17" s="47"/>
      <c r="BI17" s="47"/>
      <c r="BJ17" s="47"/>
      <c r="BK17" s="56"/>
    </row>
    <row r="18" ht="21.0" customHeight="1">
      <c r="A18" s="78"/>
      <c r="B18" s="44" t="s">
        <v>125</v>
      </c>
      <c r="C18" s="44" t="s">
        <v>29</v>
      </c>
      <c r="D18" s="45">
        <v>44872.0</v>
      </c>
      <c r="E18" s="45">
        <v>44875.0</v>
      </c>
      <c r="F18" s="44" t="s">
        <v>30</v>
      </c>
      <c r="G18" s="44" t="s">
        <v>26</v>
      </c>
      <c r="H18" s="57" t="s">
        <v>21</v>
      </c>
      <c r="I18" s="46">
        <v>1104.87</v>
      </c>
      <c r="J18" s="47"/>
      <c r="K18" s="47"/>
      <c r="L18" s="47"/>
      <c r="M18" s="48"/>
      <c r="N18" s="105">
        <v>1085.89</v>
      </c>
      <c r="O18" s="47"/>
      <c r="P18" s="47"/>
      <c r="Q18" s="47"/>
      <c r="R18" s="48"/>
      <c r="S18" s="91"/>
      <c r="T18" s="47"/>
      <c r="U18" s="47"/>
      <c r="V18" s="47"/>
      <c r="W18" s="48"/>
      <c r="X18" s="52"/>
      <c r="Y18" s="47"/>
      <c r="Z18" s="47"/>
      <c r="AA18" s="47"/>
      <c r="AB18" s="48"/>
      <c r="AC18" s="50"/>
      <c r="AD18" s="47"/>
      <c r="AE18" s="47"/>
      <c r="AF18" s="47"/>
      <c r="AG18" s="48"/>
      <c r="AH18" s="51"/>
      <c r="AI18" s="47"/>
      <c r="AJ18" s="47"/>
      <c r="AK18" s="47"/>
      <c r="AL18" s="48"/>
      <c r="AM18" s="50"/>
      <c r="AN18" s="47"/>
      <c r="AO18" s="47"/>
      <c r="AP18" s="47"/>
      <c r="AQ18" s="48"/>
      <c r="AR18" s="51"/>
      <c r="AS18" s="47"/>
      <c r="AT18" s="47"/>
      <c r="AU18" s="47"/>
      <c r="AV18" s="48"/>
      <c r="AW18" s="79"/>
      <c r="AX18" s="47"/>
      <c r="AY18" s="47"/>
      <c r="AZ18" s="47"/>
      <c r="BA18" s="48"/>
      <c r="BB18" s="80"/>
      <c r="BC18" s="47"/>
      <c r="BD18" s="47"/>
      <c r="BE18" s="47"/>
      <c r="BF18" s="47"/>
      <c r="BG18" s="81"/>
      <c r="BH18" s="47"/>
      <c r="BI18" s="47"/>
      <c r="BJ18" s="47"/>
      <c r="BK18" s="56"/>
    </row>
    <row r="19" ht="21.0" customHeight="1">
      <c r="A19" s="78"/>
      <c r="B19" s="44" t="s">
        <v>128</v>
      </c>
      <c r="C19" s="44" t="s">
        <v>29</v>
      </c>
      <c r="D19" s="45">
        <v>44872.0</v>
      </c>
      <c r="E19" s="45">
        <v>44875.0</v>
      </c>
      <c r="F19" s="44" t="s">
        <v>30</v>
      </c>
      <c r="G19" s="44" t="s">
        <v>26</v>
      </c>
      <c r="H19" s="44" t="s">
        <v>21</v>
      </c>
      <c r="I19" s="46">
        <v>1076.33</v>
      </c>
      <c r="J19" s="47"/>
      <c r="K19" s="47"/>
      <c r="L19" s="47"/>
      <c r="M19" s="48"/>
      <c r="N19" s="105">
        <v>1126.06</v>
      </c>
      <c r="O19" s="47"/>
      <c r="P19" s="47"/>
      <c r="Q19" s="47"/>
      <c r="R19" s="48"/>
      <c r="S19" s="91"/>
      <c r="T19" s="47"/>
      <c r="U19" s="47"/>
      <c r="V19" s="47"/>
      <c r="W19" s="48"/>
      <c r="X19" s="100"/>
      <c r="Y19" s="47"/>
      <c r="Z19" s="47"/>
      <c r="AA19" s="47"/>
      <c r="AB19" s="48"/>
      <c r="AC19" s="50"/>
      <c r="AD19" s="47"/>
      <c r="AE19" s="47"/>
      <c r="AF19" s="47"/>
      <c r="AG19" s="48"/>
      <c r="AH19" s="51"/>
      <c r="AI19" s="47"/>
      <c r="AJ19" s="47"/>
      <c r="AK19" s="47"/>
      <c r="AL19" s="48"/>
      <c r="AM19" s="50"/>
      <c r="AN19" s="47"/>
      <c r="AO19" s="47"/>
      <c r="AP19" s="47"/>
      <c r="AQ19" s="48"/>
      <c r="AR19" s="51"/>
      <c r="AS19" s="47"/>
      <c r="AT19" s="47"/>
      <c r="AU19" s="47"/>
      <c r="AV19" s="48"/>
      <c r="AW19" s="79"/>
      <c r="AX19" s="47"/>
      <c r="AY19" s="47"/>
      <c r="AZ19" s="47"/>
      <c r="BA19" s="48"/>
      <c r="BB19" s="80"/>
      <c r="BC19" s="47"/>
      <c r="BD19" s="47"/>
      <c r="BE19" s="47"/>
      <c r="BF19" s="47"/>
      <c r="BG19" s="81"/>
      <c r="BH19" s="47"/>
      <c r="BI19" s="47"/>
      <c r="BJ19" s="47"/>
      <c r="BK19" s="56"/>
    </row>
    <row r="20" ht="21.0" customHeight="1">
      <c r="A20" s="78"/>
      <c r="B20" s="44" t="s">
        <v>129</v>
      </c>
      <c r="C20" s="44" t="s">
        <v>130</v>
      </c>
      <c r="D20" s="45">
        <v>44872.0</v>
      </c>
      <c r="E20" s="45">
        <v>44875.0</v>
      </c>
      <c r="F20" s="44" t="s">
        <v>30</v>
      </c>
      <c r="G20" s="44" t="s">
        <v>26</v>
      </c>
      <c r="H20" s="44" t="s">
        <v>21</v>
      </c>
      <c r="I20" s="46">
        <v>995.12</v>
      </c>
      <c r="J20" s="47"/>
      <c r="K20" s="47"/>
      <c r="L20" s="47"/>
      <c r="M20" s="48"/>
      <c r="N20" s="69">
        <v>893.93</v>
      </c>
      <c r="O20" s="47"/>
      <c r="P20" s="47"/>
      <c r="Q20" s="47"/>
      <c r="R20" s="48"/>
      <c r="S20" s="91"/>
      <c r="T20" s="47"/>
      <c r="U20" s="47"/>
      <c r="V20" s="47"/>
      <c r="W20" s="48"/>
      <c r="X20" s="61"/>
      <c r="Y20" s="47"/>
      <c r="Z20" s="47"/>
      <c r="AA20" s="47"/>
      <c r="AB20" s="48"/>
      <c r="AC20" s="50"/>
      <c r="AD20" s="47"/>
      <c r="AE20" s="47"/>
      <c r="AF20" s="47"/>
      <c r="AG20" s="48"/>
      <c r="AH20" s="51"/>
      <c r="AI20" s="47"/>
      <c r="AJ20" s="47"/>
      <c r="AK20" s="47"/>
      <c r="AL20" s="48"/>
      <c r="AM20" s="50"/>
      <c r="AN20" s="47"/>
      <c r="AO20" s="47"/>
      <c r="AP20" s="47"/>
      <c r="AQ20" s="48"/>
      <c r="AR20" s="51"/>
      <c r="AS20" s="47"/>
      <c r="AT20" s="47"/>
      <c r="AU20" s="47"/>
      <c r="AV20" s="48"/>
      <c r="AW20" s="79"/>
      <c r="AX20" s="47"/>
      <c r="AY20" s="47"/>
      <c r="AZ20" s="47"/>
      <c r="BA20" s="48"/>
      <c r="BB20" s="80"/>
      <c r="BC20" s="47"/>
      <c r="BD20" s="47"/>
      <c r="BE20" s="47"/>
      <c r="BF20" s="47"/>
      <c r="BG20" s="81"/>
      <c r="BH20" s="47"/>
      <c r="BI20" s="47"/>
      <c r="BJ20" s="47"/>
      <c r="BK20" s="56"/>
    </row>
    <row r="21" ht="21.0" customHeight="1">
      <c r="A21" s="78"/>
      <c r="B21" s="88" t="s">
        <v>132</v>
      </c>
      <c r="C21" s="88" t="s">
        <v>130</v>
      </c>
      <c r="D21" s="89">
        <v>44872.0</v>
      </c>
      <c r="E21" s="89">
        <v>44875.0</v>
      </c>
      <c r="F21" s="88" t="s">
        <v>30</v>
      </c>
      <c r="G21" s="88" t="s">
        <v>133</v>
      </c>
      <c r="H21" s="88" t="s">
        <v>21</v>
      </c>
      <c r="I21" s="46">
        <v>1091.87</v>
      </c>
      <c r="J21" s="47"/>
      <c r="K21" s="47"/>
      <c r="L21" s="47"/>
      <c r="M21" s="48"/>
      <c r="N21" s="69">
        <v>1074.75</v>
      </c>
      <c r="O21" s="47"/>
      <c r="P21" s="47"/>
      <c r="Q21" s="47"/>
      <c r="R21" s="48"/>
      <c r="S21" s="91"/>
      <c r="T21" s="47"/>
      <c r="U21" s="47"/>
      <c r="V21" s="47"/>
      <c r="W21" s="48"/>
      <c r="X21" s="51"/>
      <c r="Y21" s="47"/>
      <c r="Z21" s="47"/>
      <c r="AA21" s="47"/>
      <c r="AB21" s="48"/>
      <c r="AC21" s="50"/>
      <c r="AD21" s="47"/>
      <c r="AE21" s="47"/>
      <c r="AF21" s="47"/>
      <c r="AG21" s="48"/>
      <c r="AH21" s="51"/>
      <c r="AI21" s="47"/>
      <c r="AJ21" s="47"/>
      <c r="AK21" s="47"/>
      <c r="AL21" s="48"/>
      <c r="AM21" s="50"/>
      <c r="AN21" s="47"/>
      <c r="AO21" s="47"/>
      <c r="AP21" s="47"/>
      <c r="AQ21" s="48"/>
      <c r="AR21" s="51"/>
      <c r="AS21" s="47"/>
      <c r="AT21" s="47"/>
      <c r="AU21" s="47"/>
      <c r="AV21" s="48"/>
      <c r="AW21" s="79"/>
      <c r="AX21" s="47"/>
      <c r="AY21" s="47"/>
      <c r="AZ21" s="47"/>
      <c r="BA21" s="48"/>
      <c r="BB21" s="80"/>
      <c r="BC21" s="47"/>
      <c r="BD21" s="47"/>
      <c r="BE21" s="47"/>
      <c r="BF21" s="47"/>
      <c r="BG21" s="81"/>
      <c r="BH21" s="47"/>
      <c r="BI21" s="47"/>
      <c r="BJ21" s="47"/>
      <c r="BK21" s="56"/>
    </row>
    <row r="22" ht="21.0" customHeight="1">
      <c r="A22" s="78"/>
      <c r="B22" s="44" t="s">
        <v>23</v>
      </c>
      <c r="C22" s="44" t="s">
        <v>29</v>
      </c>
      <c r="D22" s="45">
        <v>44872.0</v>
      </c>
      <c r="E22" s="45">
        <v>44875.0</v>
      </c>
      <c r="F22" s="44" t="s">
        <v>30</v>
      </c>
      <c r="G22" s="44" t="s">
        <v>26</v>
      </c>
      <c r="H22" s="57" t="s">
        <v>21</v>
      </c>
      <c r="I22" s="46">
        <v>1063.57</v>
      </c>
      <c r="J22" s="47"/>
      <c r="K22" s="47"/>
      <c r="L22" s="47"/>
      <c r="M22" s="48"/>
      <c r="N22" s="49">
        <v>1023.96</v>
      </c>
      <c r="O22" s="47"/>
      <c r="P22" s="47"/>
      <c r="Q22" s="47"/>
      <c r="R22" s="48"/>
      <c r="S22" s="91"/>
      <c r="T22" s="47"/>
      <c r="U22" s="47"/>
      <c r="V22" s="47"/>
      <c r="W22" s="48"/>
      <c r="X22" s="52"/>
      <c r="Y22" s="47"/>
      <c r="Z22" s="47"/>
      <c r="AA22" s="47"/>
      <c r="AB22" s="48"/>
      <c r="AC22" s="50"/>
      <c r="AD22" s="47"/>
      <c r="AE22" s="47"/>
      <c r="AF22" s="47"/>
      <c r="AG22" s="48"/>
      <c r="AH22" s="51"/>
      <c r="AI22" s="47"/>
      <c r="AJ22" s="47"/>
      <c r="AK22" s="47"/>
      <c r="AL22" s="48"/>
      <c r="AM22" s="50"/>
      <c r="AN22" s="47"/>
      <c r="AO22" s="47"/>
      <c r="AP22" s="47"/>
      <c r="AQ22" s="48"/>
      <c r="AR22" s="87"/>
      <c r="AS22" s="47"/>
      <c r="AT22" s="47"/>
      <c r="AU22" s="47"/>
      <c r="AV22" s="47"/>
      <c r="AW22" s="79"/>
      <c r="AX22" s="47"/>
      <c r="AY22" s="47"/>
      <c r="AZ22" s="47"/>
      <c r="BA22" s="48"/>
      <c r="BB22" s="80"/>
      <c r="BC22" s="47"/>
      <c r="BD22" s="47"/>
      <c r="BE22" s="47"/>
      <c r="BF22" s="47"/>
      <c r="BG22" s="81"/>
      <c r="BH22" s="47"/>
      <c r="BI22" s="47"/>
      <c r="BJ22" s="47"/>
      <c r="BK22" s="56"/>
    </row>
    <row r="23" ht="21.0" customHeight="1">
      <c r="A23" s="78"/>
      <c r="B23" s="44" t="s">
        <v>93</v>
      </c>
      <c r="C23" s="44" t="s">
        <v>29</v>
      </c>
      <c r="D23" s="45">
        <v>44872.0</v>
      </c>
      <c r="E23" s="45">
        <v>44875.0</v>
      </c>
      <c r="F23" s="44" t="s">
        <v>30</v>
      </c>
      <c r="G23" s="44" t="s">
        <v>26</v>
      </c>
      <c r="H23" s="57" t="s">
        <v>21</v>
      </c>
      <c r="I23" s="46">
        <v>1532.45</v>
      </c>
      <c r="J23" s="47"/>
      <c r="K23" s="47"/>
      <c r="L23" s="47"/>
      <c r="M23" s="48"/>
      <c r="N23" s="86">
        <v>1467.47</v>
      </c>
      <c r="O23" s="47"/>
      <c r="P23" s="47"/>
      <c r="Q23" s="47"/>
      <c r="R23" s="48"/>
      <c r="S23" s="91"/>
      <c r="T23" s="47"/>
      <c r="U23" s="47"/>
      <c r="V23" s="47"/>
      <c r="W23" s="48"/>
      <c r="X23" s="52"/>
      <c r="Y23" s="47"/>
      <c r="Z23" s="47"/>
      <c r="AA23" s="47"/>
      <c r="AB23" s="48"/>
      <c r="AC23" s="50"/>
      <c r="AD23" s="47"/>
      <c r="AE23" s="47"/>
      <c r="AF23" s="47"/>
      <c r="AG23" s="48"/>
      <c r="AH23" s="51"/>
      <c r="AI23" s="47"/>
      <c r="AJ23" s="47"/>
      <c r="AK23" s="47"/>
      <c r="AL23" s="48"/>
      <c r="AM23" s="50"/>
      <c r="AN23" s="47"/>
      <c r="AO23" s="47"/>
      <c r="AP23" s="47"/>
      <c r="AQ23" s="48"/>
      <c r="AR23" s="51"/>
      <c r="AS23" s="47"/>
      <c r="AT23" s="47"/>
      <c r="AU23" s="47"/>
      <c r="AV23" s="48"/>
      <c r="AW23" s="79"/>
      <c r="AX23" s="47"/>
      <c r="AY23" s="47"/>
      <c r="AZ23" s="47"/>
      <c r="BA23" s="48"/>
      <c r="BB23" s="80"/>
      <c r="BC23" s="47"/>
      <c r="BD23" s="47"/>
      <c r="BE23" s="47"/>
      <c r="BF23" s="47"/>
      <c r="BG23" s="81"/>
      <c r="BH23" s="47"/>
      <c r="BI23" s="47"/>
      <c r="BJ23" s="47"/>
      <c r="BK23" s="56"/>
    </row>
    <row r="24" ht="21.0" customHeight="1">
      <c r="A24" s="78"/>
      <c r="B24" s="44" t="s">
        <v>138</v>
      </c>
      <c r="C24" s="44" t="s">
        <v>29</v>
      </c>
      <c r="D24" s="45">
        <v>44872.0</v>
      </c>
      <c r="E24" s="45">
        <v>44875.0</v>
      </c>
      <c r="F24" s="44" t="s">
        <v>30</v>
      </c>
      <c r="G24" s="44" t="s">
        <v>26</v>
      </c>
      <c r="H24" s="44" t="s">
        <v>21</v>
      </c>
      <c r="I24" s="46">
        <v>1291.87</v>
      </c>
      <c r="J24" s="47"/>
      <c r="K24" s="47"/>
      <c r="L24" s="47"/>
      <c r="M24" s="48"/>
      <c r="N24" s="82">
        <v>1481.54</v>
      </c>
      <c r="O24" s="47"/>
      <c r="P24" s="47"/>
      <c r="Q24" s="47"/>
      <c r="R24" s="48"/>
      <c r="S24" s="91"/>
      <c r="T24" s="47"/>
      <c r="U24" s="47"/>
      <c r="V24" s="47"/>
      <c r="W24" s="48"/>
      <c r="X24" s="100"/>
      <c r="Y24" s="47"/>
      <c r="Z24" s="47"/>
      <c r="AA24" s="47"/>
      <c r="AB24" s="48"/>
      <c r="AC24" s="50"/>
      <c r="AD24" s="47"/>
      <c r="AE24" s="47"/>
      <c r="AF24" s="47"/>
      <c r="AG24" s="48"/>
      <c r="AH24" s="51"/>
      <c r="AI24" s="47"/>
      <c r="AJ24" s="47"/>
      <c r="AK24" s="47"/>
      <c r="AL24" s="48"/>
      <c r="AM24" s="50"/>
      <c r="AN24" s="47"/>
      <c r="AO24" s="47"/>
      <c r="AP24" s="47"/>
      <c r="AQ24" s="48"/>
      <c r="AR24" s="87"/>
      <c r="AS24" s="47"/>
      <c r="AT24" s="47"/>
      <c r="AU24" s="47"/>
      <c r="AV24" s="47"/>
      <c r="AW24" s="79"/>
      <c r="AX24" s="47"/>
      <c r="AY24" s="47"/>
      <c r="AZ24" s="47"/>
      <c r="BA24" s="48"/>
      <c r="BB24" s="80"/>
      <c r="BC24" s="47"/>
      <c r="BD24" s="47"/>
      <c r="BE24" s="47"/>
      <c r="BF24" s="47"/>
      <c r="BG24" s="81"/>
      <c r="BH24" s="47"/>
      <c r="BI24" s="47"/>
      <c r="BJ24" s="47"/>
      <c r="BK24" s="56"/>
    </row>
    <row r="25" ht="21.0" customHeight="1">
      <c r="A25" s="78"/>
      <c r="B25" s="44" t="s">
        <v>140</v>
      </c>
      <c r="C25" s="44" t="s">
        <v>141</v>
      </c>
      <c r="D25" s="45">
        <v>44873.0</v>
      </c>
      <c r="E25" s="45">
        <v>44875.0</v>
      </c>
      <c r="F25" s="44" t="s">
        <v>142</v>
      </c>
      <c r="G25" s="44" t="s">
        <v>59</v>
      </c>
      <c r="H25" s="44" t="s">
        <v>27</v>
      </c>
      <c r="I25" s="46">
        <v>645.12</v>
      </c>
      <c r="J25" s="47"/>
      <c r="K25" s="47"/>
      <c r="L25" s="47"/>
      <c r="M25" s="48"/>
      <c r="N25" s="69">
        <v>607.5</v>
      </c>
      <c r="O25" s="47"/>
      <c r="P25" s="47"/>
      <c r="Q25" s="47"/>
      <c r="R25" s="48"/>
      <c r="S25" s="91"/>
      <c r="T25" s="47"/>
      <c r="U25" s="47"/>
      <c r="V25" s="47"/>
      <c r="W25" s="48"/>
      <c r="X25" s="51"/>
      <c r="Y25" s="47"/>
      <c r="Z25" s="47"/>
      <c r="AA25" s="47"/>
      <c r="AB25" s="48"/>
      <c r="AC25" s="50"/>
      <c r="AD25" s="47"/>
      <c r="AE25" s="47"/>
      <c r="AF25" s="47"/>
      <c r="AG25" s="48"/>
      <c r="AH25" s="51"/>
      <c r="AI25" s="47"/>
      <c r="AJ25" s="47"/>
      <c r="AK25" s="47"/>
      <c r="AL25" s="48"/>
      <c r="AM25" s="50"/>
      <c r="AN25" s="47"/>
      <c r="AO25" s="47"/>
      <c r="AP25" s="47"/>
      <c r="AQ25" s="48"/>
      <c r="AR25" s="87"/>
      <c r="AS25" s="47"/>
      <c r="AT25" s="47"/>
      <c r="AU25" s="47"/>
      <c r="AV25" s="47"/>
      <c r="AW25" s="79"/>
      <c r="AX25" s="47"/>
      <c r="AY25" s="47"/>
      <c r="AZ25" s="47"/>
      <c r="BA25" s="48"/>
      <c r="BB25" s="80"/>
      <c r="BC25" s="47"/>
      <c r="BD25" s="47"/>
      <c r="BE25" s="47"/>
      <c r="BF25" s="47"/>
      <c r="BG25" s="81"/>
      <c r="BH25" s="47"/>
      <c r="BI25" s="47"/>
      <c r="BJ25" s="47"/>
      <c r="BK25" s="56"/>
    </row>
    <row r="26" ht="21.0" customHeight="1">
      <c r="A26" s="78"/>
      <c r="B26" s="44" t="s">
        <v>42</v>
      </c>
      <c r="C26" s="44" t="s">
        <v>143</v>
      </c>
      <c r="D26" s="45">
        <v>44858.0</v>
      </c>
      <c r="E26" s="102">
        <v>44862.0</v>
      </c>
      <c r="F26" s="44" t="s">
        <v>30</v>
      </c>
      <c r="G26" s="44" t="s">
        <v>59</v>
      </c>
      <c r="H26" s="44" t="s">
        <v>60</v>
      </c>
      <c r="I26" s="104" t="s">
        <v>56</v>
      </c>
      <c r="J26" s="47"/>
      <c r="K26" s="47"/>
      <c r="L26" s="47"/>
      <c r="M26" s="48"/>
      <c r="N26" s="82">
        <v>131.8</v>
      </c>
      <c r="O26" s="47"/>
      <c r="P26" s="47"/>
      <c r="Q26" s="47"/>
      <c r="R26" s="48"/>
      <c r="S26" s="91"/>
      <c r="T26" s="47"/>
      <c r="U26" s="47"/>
      <c r="V26" s="47"/>
      <c r="W26" s="48"/>
      <c r="X26" s="51"/>
      <c r="Y26" s="47"/>
      <c r="Z26" s="47"/>
      <c r="AA26" s="47"/>
      <c r="AB26" s="48"/>
      <c r="AC26" s="50"/>
      <c r="AD26" s="47"/>
      <c r="AE26" s="47"/>
      <c r="AF26" s="47"/>
      <c r="AG26" s="48"/>
      <c r="AH26" s="51"/>
      <c r="AI26" s="47"/>
      <c r="AJ26" s="47"/>
      <c r="AK26" s="47"/>
      <c r="AL26" s="48"/>
      <c r="AM26" s="50"/>
      <c r="AN26" s="47"/>
      <c r="AO26" s="47"/>
      <c r="AP26" s="47"/>
      <c r="AQ26" s="48"/>
      <c r="AR26" s="52"/>
      <c r="AS26" s="47"/>
      <c r="AT26" s="47"/>
      <c r="AU26" s="47"/>
      <c r="AV26" s="48"/>
      <c r="AW26" s="79"/>
      <c r="AX26" s="47"/>
      <c r="AY26" s="47"/>
      <c r="AZ26" s="47"/>
      <c r="BA26" s="48"/>
      <c r="BB26" s="80"/>
      <c r="BC26" s="47"/>
      <c r="BD26" s="47"/>
      <c r="BE26" s="47"/>
      <c r="BF26" s="47"/>
      <c r="BG26" s="81"/>
      <c r="BH26" s="47"/>
      <c r="BI26" s="47"/>
      <c r="BJ26" s="47"/>
      <c r="BK26" s="56"/>
    </row>
    <row r="27" ht="21.0" customHeight="1">
      <c r="A27" s="78"/>
      <c r="B27" s="44" t="s">
        <v>146</v>
      </c>
      <c r="C27" s="44" t="s">
        <v>148</v>
      </c>
      <c r="D27" s="45">
        <v>44874.0</v>
      </c>
      <c r="E27" s="45">
        <v>44880.0</v>
      </c>
      <c r="F27" s="44" t="s">
        <v>142</v>
      </c>
      <c r="G27" s="44" t="s">
        <v>59</v>
      </c>
      <c r="H27" s="57" t="s">
        <v>60</v>
      </c>
      <c r="I27" s="46" t="s">
        <v>56</v>
      </c>
      <c r="J27" s="47"/>
      <c r="K27" s="47"/>
      <c r="L27" s="47"/>
      <c r="M27" s="48"/>
      <c r="N27" s="69">
        <v>46.8</v>
      </c>
      <c r="O27" s="47"/>
      <c r="P27" s="47"/>
      <c r="Q27" s="47"/>
      <c r="R27" s="48"/>
      <c r="S27" s="91"/>
      <c r="T27" s="47"/>
      <c r="U27" s="47"/>
      <c r="V27" s="47"/>
      <c r="W27" s="48"/>
      <c r="X27" s="61"/>
      <c r="Y27" s="47"/>
      <c r="Z27" s="47"/>
      <c r="AA27" s="47"/>
      <c r="AB27" s="48"/>
      <c r="AC27" s="50"/>
      <c r="AD27" s="47"/>
      <c r="AE27" s="47"/>
      <c r="AF27" s="47"/>
      <c r="AG27" s="48"/>
      <c r="AH27" s="51"/>
      <c r="AI27" s="47"/>
      <c r="AJ27" s="47"/>
      <c r="AK27" s="47"/>
      <c r="AL27" s="48"/>
      <c r="AM27" s="50"/>
      <c r="AN27" s="47"/>
      <c r="AO27" s="47"/>
      <c r="AP27" s="47"/>
      <c r="AQ27" s="48"/>
      <c r="AR27" s="51"/>
      <c r="AS27" s="47"/>
      <c r="AT27" s="47"/>
      <c r="AU27" s="47"/>
      <c r="AV27" s="48"/>
      <c r="AW27" s="79"/>
      <c r="AX27" s="47"/>
      <c r="AY27" s="47"/>
      <c r="AZ27" s="47"/>
      <c r="BA27" s="48"/>
      <c r="BB27" s="80"/>
      <c r="BC27" s="47"/>
      <c r="BD27" s="47"/>
      <c r="BE27" s="47"/>
      <c r="BF27" s="47"/>
      <c r="BG27" s="81"/>
      <c r="BH27" s="47"/>
      <c r="BI27" s="47"/>
      <c r="BJ27" s="47"/>
      <c r="BK27" s="56"/>
    </row>
    <row r="28" ht="21.0" customHeight="1">
      <c r="A28" s="78"/>
      <c r="B28" s="44" t="s">
        <v>150</v>
      </c>
      <c r="C28" s="44" t="s">
        <v>151</v>
      </c>
      <c r="D28" s="45">
        <v>44884.0</v>
      </c>
      <c r="E28" s="45">
        <v>44885.0</v>
      </c>
      <c r="F28" s="44" t="s">
        <v>137</v>
      </c>
      <c r="G28" s="44" t="s">
        <v>59</v>
      </c>
      <c r="H28" s="57" t="s">
        <v>60</v>
      </c>
      <c r="I28" s="46" t="s">
        <v>56</v>
      </c>
      <c r="J28" s="47"/>
      <c r="K28" s="47"/>
      <c r="L28" s="47"/>
      <c r="M28" s="48"/>
      <c r="N28" s="69">
        <v>39.8</v>
      </c>
      <c r="O28" s="47"/>
      <c r="P28" s="47"/>
      <c r="Q28" s="47"/>
      <c r="R28" s="48"/>
      <c r="S28" s="91"/>
      <c r="T28" s="47"/>
      <c r="U28" s="47"/>
      <c r="V28" s="47"/>
      <c r="W28" s="48"/>
      <c r="X28" s="100"/>
      <c r="Y28" s="47"/>
      <c r="Z28" s="47"/>
      <c r="AA28" s="47"/>
      <c r="AB28" s="48"/>
      <c r="AC28" s="50"/>
      <c r="AD28" s="47"/>
      <c r="AE28" s="47"/>
      <c r="AF28" s="47"/>
      <c r="AG28" s="48"/>
      <c r="AH28" s="51"/>
      <c r="AI28" s="47"/>
      <c r="AJ28" s="47"/>
      <c r="AK28" s="47"/>
      <c r="AL28" s="48"/>
      <c r="AM28" s="50"/>
      <c r="AN28" s="47"/>
      <c r="AO28" s="47"/>
      <c r="AP28" s="47"/>
      <c r="AQ28" s="48"/>
      <c r="AR28" s="51"/>
      <c r="AS28" s="47"/>
      <c r="AT28" s="47"/>
      <c r="AU28" s="47"/>
      <c r="AV28" s="48"/>
      <c r="AW28" s="79"/>
      <c r="AX28" s="47"/>
      <c r="AY28" s="47"/>
      <c r="AZ28" s="47"/>
      <c r="BA28" s="48"/>
      <c r="BB28" s="80"/>
      <c r="BC28" s="47"/>
      <c r="BD28" s="47"/>
      <c r="BE28" s="47"/>
      <c r="BF28" s="47"/>
      <c r="BG28" s="81"/>
      <c r="BH28" s="47"/>
      <c r="BI28" s="47"/>
      <c r="BJ28" s="47"/>
      <c r="BK28" s="56"/>
    </row>
    <row r="29" ht="21.0" customHeight="1">
      <c r="A29" s="78"/>
      <c r="B29" s="44" t="s">
        <v>28</v>
      </c>
      <c r="C29" s="44" t="s">
        <v>29</v>
      </c>
      <c r="D29" s="45">
        <v>44872.0</v>
      </c>
      <c r="E29" s="45">
        <v>44875.0</v>
      </c>
      <c r="F29" s="44" t="s">
        <v>30</v>
      </c>
      <c r="G29" s="44" t="s">
        <v>26</v>
      </c>
      <c r="H29" s="57" t="s">
        <v>21</v>
      </c>
      <c r="I29" s="46">
        <v>1116.88</v>
      </c>
      <c r="J29" s="47"/>
      <c r="K29" s="47"/>
      <c r="L29" s="47"/>
      <c r="M29" s="48"/>
      <c r="N29" s="49">
        <v>1109.87</v>
      </c>
      <c r="O29" s="47"/>
      <c r="P29" s="47"/>
      <c r="Q29" s="47"/>
      <c r="R29" s="48"/>
      <c r="S29" s="91"/>
      <c r="T29" s="47"/>
      <c r="U29" s="47"/>
      <c r="V29" s="47"/>
      <c r="W29" s="48"/>
      <c r="X29" s="52"/>
      <c r="Y29" s="47"/>
      <c r="Z29" s="47"/>
      <c r="AA29" s="47"/>
      <c r="AB29" s="48"/>
      <c r="AC29" s="50"/>
      <c r="AD29" s="47"/>
      <c r="AE29" s="47"/>
      <c r="AF29" s="47"/>
      <c r="AG29" s="48"/>
      <c r="AH29" s="51"/>
      <c r="AI29" s="47"/>
      <c r="AJ29" s="47"/>
      <c r="AK29" s="47"/>
      <c r="AL29" s="48"/>
      <c r="AM29" s="50"/>
      <c r="AN29" s="47"/>
      <c r="AO29" s="47"/>
      <c r="AP29" s="47"/>
      <c r="AQ29" s="48"/>
      <c r="AR29" s="51"/>
      <c r="AS29" s="47"/>
      <c r="AT29" s="47"/>
      <c r="AU29" s="47"/>
      <c r="AV29" s="48"/>
      <c r="AW29" s="79"/>
      <c r="AX29" s="47"/>
      <c r="AY29" s="47"/>
      <c r="AZ29" s="47"/>
      <c r="BA29" s="48"/>
      <c r="BB29" s="80"/>
      <c r="BC29" s="47"/>
      <c r="BD29" s="47"/>
      <c r="BE29" s="47"/>
      <c r="BF29" s="47"/>
      <c r="BG29" s="81"/>
      <c r="BH29" s="47"/>
      <c r="BI29" s="47"/>
      <c r="BJ29" s="47"/>
      <c r="BK29" s="56"/>
    </row>
    <row r="30" ht="21.0" customHeight="1">
      <c r="A30" s="78"/>
      <c r="B30" s="119" t="s">
        <v>154</v>
      </c>
      <c r="C30" s="119" t="s">
        <v>145</v>
      </c>
      <c r="D30" s="120">
        <v>44886.0</v>
      </c>
      <c r="E30" s="120">
        <v>44887.0</v>
      </c>
      <c r="F30" s="119" t="s">
        <v>155</v>
      </c>
      <c r="G30" s="119" t="s">
        <v>59</v>
      </c>
      <c r="H30" s="121" t="s">
        <v>27</v>
      </c>
      <c r="I30" s="46">
        <v>268.62</v>
      </c>
      <c r="J30" s="47"/>
      <c r="K30" s="47"/>
      <c r="L30" s="47"/>
      <c r="M30" s="48"/>
      <c r="N30" s="71">
        <v>235.62</v>
      </c>
      <c r="O30" s="47"/>
      <c r="P30" s="47"/>
      <c r="Q30" s="47"/>
      <c r="R30" s="48"/>
      <c r="S30" s="91"/>
      <c r="T30" s="47"/>
      <c r="U30" s="47"/>
      <c r="V30" s="47"/>
      <c r="W30" s="48"/>
      <c r="X30" s="52"/>
      <c r="Y30" s="47"/>
      <c r="Z30" s="47"/>
      <c r="AA30" s="47"/>
      <c r="AB30" s="48"/>
      <c r="AC30" s="50"/>
      <c r="AD30" s="47"/>
      <c r="AE30" s="47"/>
      <c r="AF30" s="47"/>
      <c r="AG30" s="48"/>
      <c r="AH30" s="52"/>
      <c r="AI30" s="47"/>
      <c r="AJ30" s="47"/>
      <c r="AK30" s="47"/>
      <c r="AL30" s="48"/>
      <c r="AM30" s="50"/>
      <c r="AN30" s="47"/>
      <c r="AO30" s="47"/>
      <c r="AP30" s="47"/>
      <c r="AQ30" s="48"/>
      <c r="AR30" s="51"/>
      <c r="AS30" s="47"/>
      <c r="AT30" s="47"/>
      <c r="AU30" s="47"/>
      <c r="AV30" s="48"/>
      <c r="AW30" s="79"/>
      <c r="AX30" s="47"/>
      <c r="AY30" s="47"/>
      <c r="AZ30" s="47"/>
      <c r="BA30" s="48"/>
      <c r="BB30" s="80"/>
      <c r="BC30" s="47"/>
      <c r="BD30" s="47"/>
      <c r="BE30" s="47"/>
      <c r="BF30" s="47"/>
      <c r="BG30" s="81"/>
      <c r="BH30" s="47"/>
      <c r="BI30" s="47"/>
      <c r="BJ30" s="47"/>
      <c r="BK30" s="56"/>
    </row>
    <row r="31" ht="21.0" customHeight="1">
      <c r="A31" s="78"/>
      <c r="B31" s="119" t="s">
        <v>154</v>
      </c>
      <c r="C31" s="119" t="s">
        <v>145</v>
      </c>
      <c r="D31" s="120">
        <v>44886.0</v>
      </c>
      <c r="E31" s="120">
        <v>44895.0</v>
      </c>
      <c r="F31" s="119" t="s">
        <v>155</v>
      </c>
      <c r="G31" s="119" t="s">
        <v>59</v>
      </c>
      <c r="H31" s="121" t="s">
        <v>27</v>
      </c>
      <c r="I31" s="46">
        <v>1016.37</v>
      </c>
      <c r="J31" s="47"/>
      <c r="K31" s="47"/>
      <c r="L31" s="47"/>
      <c r="M31" s="48"/>
      <c r="N31" s="71">
        <v>1114.43</v>
      </c>
      <c r="O31" s="47"/>
      <c r="P31" s="47"/>
      <c r="Q31" s="47"/>
      <c r="R31" s="48"/>
      <c r="S31" s="91"/>
      <c r="T31" s="47"/>
      <c r="U31" s="47"/>
      <c r="V31" s="47"/>
      <c r="W31" s="48"/>
      <c r="X31" s="52"/>
      <c r="Y31" s="47"/>
      <c r="Z31" s="47"/>
      <c r="AA31" s="47"/>
      <c r="AB31" s="48"/>
      <c r="AC31" s="50"/>
      <c r="AD31" s="47"/>
      <c r="AE31" s="47"/>
      <c r="AF31" s="47"/>
      <c r="AG31" s="48"/>
      <c r="AH31" s="52"/>
      <c r="AI31" s="47"/>
      <c r="AJ31" s="47"/>
      <c r="AK31" s="47"/>
      <c r="AL31" s="48"/>
      <c r="AM31" s="50"/>
      <c r="AN31" s="47"/>
      <c r="AO31" s="47"/>
      <c r="AP31" s="47"/>
      <c r="AQ31" s="48"/>
      <c r="AR31" s="51"/>
      <c r="AS31" s="47"/>
      <c r="AT31" s="47"/>
      <c r="AU31" s="47"/>
      <c r="AV31" s="48"/>
      <c r="AW31" s="79"/>
      <c r="AX31" s="47"/>
      <c r="AY31" s="47"/>
      <c r="AZ31" s="47"/>
      <c r="BA31" s="48"/>
      <c r="BB31" s="80"/>
      <c r="BC31" s="47"/>
      <c r="BD31" s="47"/>
      <c r="BE31" s="47"/>
      <c r="BF31" s="47"/>
      <c r="BG31" s="81"/>
      <c r="BH31" s="47"/>
      <c r="BI31" s="47"/>
      <c r="BJ31" s="47"/>
      <c r="BK31" s="56"/>
    </row>
    <row r="32" ht="21.0" customHeight="1">
      <c r="A32" s="78"/>
      <c r="B32" s="88" t="s">
        <v>156</v>
      </c>
      <c r="C32" s="88" t="s">
        <v>157</v>
      </c>
      <c r="D32" s="89">
        <v>44886.0</v>
      </c>
      <c r="E32" s="89">
        <v>44887.0</v>
      </c>
      <c r="F32" s="88" t="s">
        <v>158</v>
      </c>
      <c r="G32" s="88" t="s">
        <v>59</v>
      </c>
      <c r="H32" s="90" t="s">
        <v>27</v>
      </c>
      <c r="I32" s="46">
        <v>1172.4</v>
      </c>
      <c r="J32" s="47"/>
      <c r="K32" s="47"/>
      <c r="L32" s="47"/>
      <c r="M32" s="48"/>
      <c r="N32" s="69">
        <v>1091.86</v>
      </c>
      <c r="O32" s="47"/>
      <c r="P32" s="47"/>
      <c r="Q32" s="47"/>
      <c r="R32" s="48"/>
      <c r="S32" s="50"/>
      <c r="T32" s="47"/>
      <c r="U32" s="47"/>
      <c r="V32" s="47"/>
      <c r="W32" s="48"/>
      <c r="X32" s="61"/>
      <c r="Y32" s="47"/>
      <c r="Z32" s="47"/>
      <c r="AA32" s="47"/>
      <c r="AB32" s="48"/>
      <c r="AC32" s="50"/>
      <c r="AD32" s="47"/>
      <c r="AE32" s="47"/>
      <c r="AF32" s="47"/>
      <c r="AG32" s="48"/>
      <c r="AH32" s="51"/>
      <c r="AI32" s="47"/>
      <c r="AJ32" s="47"/>
      <c r="AK32" s="47"/>
      <c r="AL32" s="48"/>
      <c r="AM32" s="50"/>
      <c r="AN32" s="47"/>
      <c r="AO32" s="47"/>
      <c r="AP32" s="47"/>
      <c r="AQ32" s="48"/>
      <c r="AR32" s="51"/>
      <c r="AS32" s="47"/>
      <c r="AT32" s="47"/>
      <c r="AU32" s="47"/>
      <c r="AV32" s="48"/>
      <c r="AW32" s="79"/>
      <c r="AX32" s="47"/>
      <c r="AY32" s="47"/>
      <c r="AZ32" s="47"/>
      <c r="BA32" s="48"/>
      <c r="BB32" s="80"/>
      <c r="BC32" s="47"/>
      <c r="BD32" s="47"/>
      <c r="BE32" s="47"/>
      <c r="BF32" s="47"/>
      <c r="BG32" s="81"/>
      <c r="BH32" s="47"/>
      <c r="BI32" s="47"/>
      <c r="BJ32" s="47"/>
      <c r="BK32" s="56"/>
    </row>
    <row r="33" ht="21.0" customHeight="1">
      <c r="A33" s="78"/>
      <c r="B33" s="119" t="s">
        <v>162</v>
      </c>
      <c r="C33" s="119" t="s">
        <v>163</v>
      </c>
      <c r="D33" s="120">
        <v>44880.0</v>
      </c>
      <c r="E33" s="120">
        <v>44882.0</v>
      </c>
      <c r="F33" s="119" t="s">
        <v>164</v>
      </c>
      <c r="G33" s="119" t="s">
        <v>59</v>
      </c>
      <c r="H33" s="121" t="s">
        <v>27</v>
      </c>
      <c r="I33" s="46">
        <v>738.95</v>
      </c>
      <c r="J33" s="47"/>
      <c r="K33" s="47"/>
      <c r="L33" s="47"/>
      <c r="M33" s="48"/>
      <c r="N33" s="71" t="s">
        <v>56</v>
      </c>
      <c r="O33" s="47"/>
      <c r="P33" s="47"/>
      <c r="Q33" s="47"/>
      <c r="R33" s="48"/>
      <c r="S33" s="91"/>
      <c r="T33" s="47"/>
      <c r="U33" s="47"/>
      <c r="V33" s="47"/>
      <c r="W33" s="48"/>
      <c r="X33" s="52"/>
      <c r="Y33" s="47"/>
      <c r="Z33" s="47"/>
      <c r="AA33" s="47"/>
      <c r="AB33" s="48"/>
      <c r="AC33" s="50"/>
      <c r="AD33" s="47"/>
      <c r="AE33" s="47"/>
      <c r="AF33" s="47"/>
      <c r="AG33" s="48"/>
      <c r="AH33" s="52"/>
      <c r="AI33" s="47"/>
      <c r="AJ33" s="47"/>
      <c r="AK33" s="47"/>
      <c r="AL33" s="48"/>
      <c r="AM33" s="50"/>
      <c r="AN33" s="47"/>
      <c r="AO33" s="47"/>
      <c r="AP33" s="47"/>
      <c r="AQ33" s="48"/>
      <c r="AR33" s="51"/>
      <c r="AS33" s="47"/>
      <c r="AT33" s="47"/>
      <c r="AU33" s="47"/>
      <c r="AV33" s="48"/>
      <c r="AW33" s="79"/>
      <c r="AX33" s="47"/>
      <c r="AY33" s="47"/>
      <c r="AZ33" s="47"/>
      <c r="BA33" s="48"/>
      <c r="BB33" s="80"/>
      <c r="BC33" s="47"/>
      <c r="BD33" s="47"/>
      <c r="BE33" s="47"/>
      <c r="BF33" s="47"/>
      <c r="BG33" s="81"/>
      <c r="BH33" s="47"/>
      <c r="BI33" s="47"/>
      <c r="BJ33" s="47"/>
      <c r="BK33" s="56"/>
    </row>
    <row r="34" ht="21.0" customHeight="1">
      <c r="A34" s="78"/>
      <c r="B34" s="44" t="s">
        <v>17</v>
      </c>
      <c r="C34" s="44" t="s">
        <v>31</v>
      </c>
      <c r="D34" s="45">
        <v>44900.0</v>
      </c>
      <c r="E34" s="45">
        <v>44904.0</v>
      </c>
      <c r="F34" s="44" t="s">
        <v>32</v>
      </c>
      <c r="G34" s="44" t="s">
        <v>26</v>
      </c>
      <c r="H34" s="44" t="s">
        <v>27</v>
      </c>
      <c r="I34" s="46">
        <v>2046.95</v>
      </c>
      <c r="J34" s="47"/>
      <c r="K34" s="47"/>
      <c r="L34" s="47"/>
      <c r="M34" s="48"/>
      <c r="N34" s="58">
        <v>2230.27</v>
      </c>
      <c r="O34" s="47"/>
      <c r="P34" s="47"/>
      <c r="Q34" s="47"/>
      <c r="R34" s="48"/>
      <c r="S34" s="91"/>
      <c r="T34" s="47"/>
      <c r="U34" s="47"/>
      <c r="V34" s="47"/>
      <c r="W34" s="48"/>
      <c r="X34" s="61"/>
      <c r="Y34" s="47"/>
      <c r="Z34" s="47"/>
      <c r="AA34" s="47"/>
      <c r="AB34" s="48"/>
      <c r="AC34" s="50"/>
      <c r="AD34" s="47"/>
      <c r="AE34" s="47"/>
      <c r="AF34" s="47"/>
      <c r="AG34" s="48"/>
      <c r="AH34" s="52"/>
      <c r="AI34" s="47"/>
      <c r="AJ34" s="47"/>
      <c r="AK34" s="47"/>
      <c r="AL34" s="48"/>
      <c r="AM34" s="50"/>
      <c r="AN34" s="47"/>
      <c r="AO34" s="47"/>
      <c r="AP34" s="47"/>
      <c r="AQ34" s="48"/>
      <c r="AR34" s="51"/>
      <c r="AS34" s="47"/>
      <c r="AT34" s="47"/>
      <c r="AU34" s="47"/>
      <c r="AV34" s="48"/>
      <c r="AW34" s="79"/>
      <c r="AX34" s="47"/>
      <c r="AY34" s="47"/>
      <c r="AZ34" s="47"/>
      <c r="BA34" s="48"/>
      <c r="BB34" s="80"/>
      <c r="BC34" s="47"/>
      <c r="BD34" s="47"/>
      <c r="BE34" s="47"/>
      <c r="BF34" s="47"/>
      <c r="BG34" s="81"/>
      <c r="BH34" s="47"/>
      <c r="BI34" s="47"/>
      <c r="BJ34" s="47"/>
      <c r="BK34" s="56"/>
    </row>
    <row r="35" ht="21.0" customHeight="1">
      <c r="A35" s="78"/>
      <c r="B35" s="44" t="s">
        <v>51</v>
      </c>
      <c r="C35" s="44" t="s">
        <v>52</v>
      </c>
      <c r="D35" s="45">
        <v>44906.0</v>
      </c>
      <c r="E35" s="45">
        <v>44910.0</v>
      </c>
      <c r="F35" s="44" t="s">
        <v>61</v>
      </c>
      <c r="G35" s="44" t="s">
        <v>26</v>
      </c>
      <c r="H35" s="57" t="s">
        <v>21</v>
      </c>
      <c r="I35" s="46">
        <v>1926.67</v>
      </c>
      <c r="J35" s="47"/>
      <c r="K35" s="47"/>
      <c r="L35" s="47"/>
      <c r="M35" s="48"/>
      <c r="N35" s="71">
        <v>1837.97</v>
      </c>
      <c r="O35" s="47"/>
      <c r="P35" s="47"/>
      <c r="Q35" s="47"/>
      <c r="R35" s="48"/>
      <c r="S35" s="91"/>
      <c r="T35" s="47"/>
      <c r="U35" s="47"/>
      <c r="V35" s="47"/>
      <c r="W35" s="48"/>
      <c r="X35" s="52"/>
      <c r="Y35" s="47"/>
      <c r="Z35" s="47"/>
      <c r="AA35" s="47"/>
      <c r="AB35" s="48"/>
      <c r="AC35" s="50"/>
      <c r="AD35" s="47"/>
      <c r="AE35" s="47"/>
      <c r="AF35" s="47"/>
      <c r="AG35" s="48"/>
      <c r="AH35" s="52"/>
      <c r="AI35" s="47"/>
      <c r="AJ35" s="47"/>
      <c r="AK35" s="47"/>
      <c r="AL35" s="48"/>
      <c r="AM35" s="50"/>
      <c r="AN35" s="47"/>
      <c r="AO35" s="47"/>
      <c r="AP35" s="47"/>
      <c r="AQ35" s="48"/>
      <c r="AR35" s="51"/>
      <c r="AS35" s="47"/>
      <c r="AT35" s="47"/>
      <c r="AU35" s="47"/>
      <c r="AV35" s="48"/>
      <c r="AW35" s="79"/>
      <c r="AX35" s="47"/>
      <c r="AY35" s="47"/>
      <c r="AZ35" s="47"/>
      <c r="BA35" s="48"/>
      <c r="BB35" s="80"/>
      <c r="BC35" s="47"/>
      <c r="BD35" s="47"/>
      <c r="BE35" s="47"/>
      <c r="BF35" s="47"/>
      <c r="BG35" s="81"/>
      <c r="BH35" s="47"/>
      <c r="BI35" s="47"/>
      <c r="BJ35" s="47"/>
      <c r="BK35" s="56"/>
    </row>
    <row r="36" ht="21.0" customHeight="1">
      <c r="A36" s="78"/>
      <c r="B36" s="44" t="s">
        <v>57</v>
      </c>
      <c r="C36" s="44" t="s">
        <v>63</v>
      </c>
      <c r="D36" s="45">
        <v>44900.0</v>
      </c>
      <c r="E36" s="45">
        <v>44903.0</v>
      </c>
      <c r="F36" s="44" t="s">
        <v>19</v>
      </c>
      <c r="G36" s="44" t="s">
        <v>64</v>
      </c>
      <c r="H36" s="57" t="s">
        <v>21</v>
      </c>
      <c r="I36" s="46">
        <v>1892.81</v>
      </c>
      <c r="J36" s="47"/>
      <c r="K36" s="47"/>
      <c r="L36" s="47"/>
      <c r="M36" s="48"/>
      <c r="N36" s="71">
        <v>1659.04</v>
      </c>
      <c r="O36" s="47"/>
      <c r="P36" s="47"/>
      <c r="Q36" s="47"/>
      <c r="R36" s="48"/>
      <c r="S36" s="91"/>
      <c r="T36" s="47"/>
      <c r="U36" s="47"/>
      <c r="V36" s="47"/>
      <c r="W36" s="48"/>
      <c r="X36" s="61"/>
      <c r="Y36" s="47"/>
      <c r="Z36" s="47"/>
      <c r="AA36" s="47"/>
      <c r="AB36" s="48"/>
      <c r="AC36" s="50"/>
      <c r="AD36" s="47"/>
      <c r="AE36" s="47"/>
      <c r="AF36" s="47"/>
      <c r="AG36" s="48"/>
      <c r="AH36" s="52"/>
      <c r="AI36" s="47"/>
      <c r="AJ36" s="47"/>
      <c r="AK36" s="47"/>
      <c r="AL36" s="48"/>
      <c r="AM36" s="50"/>
      <c r="AN36" s="47"/>
      <c r="AO36" s="47"/>
      <c r="AP36" s="47"/>
      <c r="AQ36" s="48"/>
      <c r="AR36" s="51"/>
      <c r="AS36" s="47"/>
      <c r="AT36" s="47"/>
      <c r="AU36" s="47"/>
      <c r="AV36" s="48"/>
      <c r="AW36" s="79"/>
      <c r="AX36" s="47"/>
      <c r="AY36" s="47"/>
      <c r="AZ36" s="47"/>
      <c r="BA36" s="48"/>
      <c r="BB36" s="80"/>
      <c r="BC36" s="47"/>
      <c r="BD36" s="47"/>
      <c r="BE36" s="47"/>
      <c r="BF36" s="47"/>
      <c r="BG36" s="81"/>
      <c r="BH36" s="47"/>
      <c r="BI36" s="47"/>
      <c r="BJ36" s="47"/>
      <c r="BK36" s="56"/>
    </row>
    <row r="37" ht="21.0" customHeight="1">
      <c r="A37" s="78"/>
      <c r="B37" s="44" t="s">
        <v>28</v>
      </c>
      <c r="C37" s="44" t="s">
        <v>33</v>
      </c>
      <c r="D37" s="45">
        <v>44916.0</v>
      </c>
      <c r="E37" s="45">
        <v>44917.0</v>
      </c>
      <c r="F37" s="44" t="s">
        <v>30</v>
      </c>
      <c r="G37" s="44" t="s">
        <v>20</v>
      </c>
      <c r="H37" s="57" t="s">
        <v>34</v>
      </c>
      <c r="I37" s="46">
        <v>594.87</v>
      </c>
      <c r="J37" s="47"/>
      <c r="K37" s="47"/>
      <c r="L37" s="47"/>
      <c r="M37" s="48"/>
      <c r="N37" s="58">
        <v>573.15</v>
      </c>
      <c r="O37" s="47"/>
      <c r="P37" s="47"/>
      <c r="Q37" s="47"/>
      <c r="R37" s="48"/>
      <c r="S37" s="91"/>
      <c r="T37" s="47"/>
      <c r="U37" s="47"/>
      <c r="V37" s="47"/>
      <c r="W37" s="48"/>
      <c r="X37" s="51"/>
      <c r="Y37" s="47"/>
      <c r="Z37" s="47"/>
      <c r="AA37" s="47"/>
      <c r="AB37" s="48"/>
      <c r="AC37" s="50"/>
      <c r="AD37" s="47"/>
      <c r="AE37" s="47"/>
      <c r="AF37" s="47"/>
      <c r="AG37" s="48"/>
      <c r="AH37" s="52"/>
      <c r="AI37" s="47"/>
      <c r="AJ37" s="47"/>
      <c r="AK37" s="47"/>
      <c r="AL37" s="48"/>
      <c r="AM37" s="50"/>
      <c r="AN37" s="47"/>
      <c r="AO37" s="47"/>
      <c r="AP37" s="47"/>
      <c r="AQ37" s="48"/>
      <c r="AR37" s="51"/>
      <c r="AS37" s="47"/>
      <c r="AT37" s="47"/>
      <c r="AU37" s="47"/>
      <c r="AV37" s="48"/>
      <c r="AW37" s="79"/>
      <c r="AX37" s="47"/>
      <c r="AY37" s="47"/>
      <c r="AZ37" s="47"/>
      <c r="BA37" s="48"/>
      <c r="BB37" s="80"/>
      <c r="BC37" s="47"/>
      <c r="BD37" s="47"/>
      <c r="BE37" s="47"/>
      <c r="BF37" s="47"/>
      <c r="BG37" s="81"/>
      <c r="BH37" s="47"/>
      <c r="BI37" s="47"/>
      <c r="BJ37" s="47"/>
      <c r="BK37" s="56"/>
    </row>
    <row r="38" ht="21.0" customHeight="1">
      <c r="A38" s="78"/>
      <c r="B38" s="44" t="s">
        <v>66</v>
      </c>
      <c r="C38" s="44" t="s">
        <v>67</v>
      </c>
      <c r="D38" s="45">
        <v>44901.0</v>
      </c>
      <c r="E38" s="45">
        <v>44903.0</v>
      </c>
      <c r="F38" s="44" t="s">
        <v>19</v>
      </c>
      <c r="G38" s="44" t="s">
        <v>64</v>
      </c>
      <c r="H38" s="57" t="s">
        <v>60</v>
      </c>
      <c r="I38" s="46" t="s">
        <v>56</v>
      </c>
      <c r="J38" s="47"/>
      <c r="K38" s="47"/>
      <c r="L38" s="47"/>
      <c r="M38" s="48"/>
      <c r="N38" s="71">
        <v>133.5</v>
      </c>
      <c r="O38" s="47"/>
      <c r="P38" s="47"/>
      <c r="Q38" s="47"/>
      <c r="R38" s="48"/>
      <c r="S38" s="91"/>
      <c r="T38" s="47"/>
      <c r="U38" s="47"/>
      <c r="V38" s="47"/>
      <c r="W38" s="48"/>
      <c r="X38" s="52"/>
      <c r="Y38" s="47"/>
      <c r="Z38" s="47"/>
      <c r="AA38" s="47"/>
      <c r="AB38" s="48"/>
      <c r="AC38" s="50"/>
      <c r="AD38" s="47"/>
      <c r="AE38" s="47"/>
      <c r="AF38" s="47"/>
      <c r="AG38" s="48"/>
      <c r="AH38" s="52"/>
      <c r="AI38" s="47"/>
      <c r="AJ38" s="47"/>
      <c r="AK38" s="47"/>
      <c r="AL38" s="48"/>
      <c r="AM38" s="50"/>
      <c r="AN38" s="47"/>
      <c r="AO38" s="47"/>
      <c r="AP38" s="47"/>
      <c r="AQ38" s="48"/>
      <c r="AR38" s="51"/>
      <c r="AS38" s="47"/>
      <c r="AT38" s="47"/>
      <c r="AU38" s="47"/>
      <c r="AV38" s="48"/>
      <c r="AW38" s="79"/>
      <c r="AX38" s="47"/>
      <c r="AY38" s="47"/>
      <c r="AZ38" s="47"/>
      <c r="BA38" s="48"/>
      <c r="BB38" s="80"/>
      <c r="BC38" s="47"/>
      <c r="BD38" s="47"/>
      <c r="BE38" s="47"/>
      <c r="BF38" s="47"/>
      <c r="BG38" s="81"/>
      <c r="BH38" s="47"/>
      <c r="BI38" s="47"/>
      <c r="BJ38" s="47"/>
      <c r="BK38" s="56"/>
    </row>
    <row r="39" ht="21.0" customHeight="1">
      <c r="A39" s="78"/>
      <c r="B39" s="44" t="s">
        <v>70</v>
      </c>
      <c r="C39" s="44" t="s">
        <v>67</v>
      </c>
      <c r="D39" s="45">
        <v>44901.0</v>
      </c>
      <c r="E39" s="45">
        <v>44903.0</v>
      </c>
      <c r="F39" s="44" t="s">
        <v>19</v>
      </c>
      <c r="G39" s="44" t="s">
        <v>64</v>
      </c>
      <c r="H39" s="57" t="s">
        <v>60</v>
      </c>
      <c r="I39" s="46" t="s">
        <v>56</v>
      </c>
      <c r="J39" s="47"/>
      <c r="K39" s="47"/>
      <c r="L39" s="47"/>
      <c r="M39" s="48"/>
      <c r="N39" s="71">
        <v>120.43</v>
      </c>
      <c r="O39" s="47"/>
      <c r="P39" s="47"/>
      <c r="Q39" s="47"/>
      <c r="R39" s="48"/>
      <c r="S39" s="91"/>
      <c r="T39" s="47"/>
      <c r="U39" s="47"/>
      <c r="V39" s="47"/>
      <c r="W39" s="48"/>
      <c r="X39" s="61"/>
      <c r="Y39" s="47"/>
      <c r="Z39" s="47"/>
      <c r="AA39" s="47"/>
      <c r="AB39" s="48"/>
      <c r="AC39" s="50"/>
      <c r="AD39" s="47"/>
      <c r="AE39" s="47"/>
      <c r="AF39" s="47"/>
      <c r="AG39" s="48"/>
      <c r="AH39" s="52"/>
      <c r="AI39" s="47"/>
      <c r="AJ39" s="47"/>
      <c r="AK39" s="47"/>
      <c r="AL39" s="48"/>
      <c r="AM39" s="50"/>
      <c r="AN39" s="47"/>
      <c r="AO39" s="47"/>
      <c r="AP39" s="47"/>
      <c r="AQ39" s="48"/>
      <c r="AR39" s="51"/>
      <c r="AS39" s="47"/>
      <c r="AT39" s="47"/>
      <c r="AU39" s="47"/>
      <c r="AV39" s="48"/>
      <c r="AW39" s="79"/>
      <c r="AX39" s="47"/>
      <c r="AY39" s="47"/>
      <c r="AZ39" s="47"/>
      <c r="BA39" s="48"/>
      <c r="BB39" s="80"/>
      <c r="BC39" s="47"/>
      <c r="BD39" s="47"/>
      <c r="BE39" s="47"/>
      <c r="BF39" s="47"/>
      <c r="BG39" s="81"/>
      <c r="BH39" s="47"/>
      <c r="BI39" s="47"/>
      <c r="BJ39" s="47"/>
      <c r="BK39" s="56"/>
    </row>
    <row r="40" ht="21.0" customHeight="1">
      <c r="A40" s="78"/>
      <c r="B40" s="44" t="s">
        <v>57</v>
      </c>
      <c r="C40" s="44" t="s">
        <v>29</v>
      </c>
      <c r="D40" s="45">
        <v>44872.0</v>
      </c>
      <c r="E40" s="45">
        <v>44875.0</v>
      </c>
      <c r="F40" s="44" t="s">
        <v>30</v>
      </c>
      <c r="G40" s="44" t="s">
        <v>26</v>
      </c>
      <c r="H40" s="57" t="s">
        <v>21</v>
      </c>
      <c r="I40" s="46">
        <v>1364.96</v>
      </c>
      <c r="J40" s="47"/>
      <c r="K40" s="47"/>
      <c r="L40" s="47"/>
      <c r="M40" s="48"/>
      <c r="N40" s="69">
        <v>1288.82</v>
      </c>
      <c r="O40" s="47"/>
      <c r="P40" s="47"/>
      <c r="Q40" s="47"/>
      <c r="R40" s="48"/>
      <c r="S40" s="91"/>
      <c r="T40" s="47"/>
      <c r="U40" s="47"/>
      <c r="V40" s="47"/>
      <c r="W40" s="48"/>
      <c r="X40" s="61"/>
      <c r="Y40" s="47"/>
      <c r="Z40" s="47"/>
      <c r="AA40" s="47"/>
      <c r="AB40" s="48"/>
      <c r="AC40" s="50"/>
      <c r="AD40" s="47"/>
      <c r="AE40" s="47"/>
      <c r="AF40" s="47"/>
      <c r="AG40" s="48"/>
      <c r="AH40" s="52"/>
      <c r="AI40" s="47"/>
      <c r="AJ40" s="47"/>
      <c r="AK40" s="47"/>
      <c r="AL40" s="48"/>
      <c r="AM40" s="50"/>
      <c r="AN40" s="47"/>
      <c r="AO40" s="47"/>
      <c r="AP40" s="47"/>
      <c r="AQ40" s="48"/>
      <c r="AR40" s="51"/>
      <c r="AS40" s="47"/>
      <c r="AT40" s="47"/>
      <c r="AU40" s="47"/>
      <c r="AV40" s="48"/>
      <c r="AW40" s="79"/>
      <c r="AX40" s="47"/>
      <c r="AY40" s="47"/>
      <c r="AZ40" s="47"/>
      <c r="BA40" s="48"/>
      <c r="BB40" s="80"/>
      <c r="BC40" s="47"/>
      <c r="BD40" s="47"/>
      <c r="BE40" s="47"/>
      <c r="BF40" s="47"/>
      <c r="BG40" s="81"/>
      <c r="BH40" s="47"/>
      <c r="BI40" s="47"/>
      <c r="BJ40" s="47"/>
      <c r="BK40" s="56"/>
    </row>
    <row r="41" ht="21.0" customHeight="1">
      <c r="A41" s="78"/>
      <c r="B41" s="44" t="s">
        <v>51</v>
      </c>
      <c r="C41" s="44" t="s">
        <v>76</v>
      </c>
      <c r="D41" s="45">
        <v>44948.0</v>
      </c>
      <c r="E41" s="45">
        <v>44953.0</v>
      </c>
      <c r="F41" s="44" t="s">
        <v>25</v>
      </c>
      <c r="G41" s="44" t="s">
        <v>26</v>
      </c>
      <c r="H41" s="57" t="s">
        <v>21</v>
      </c>
      <c r="I41" s="50"/>
      <c r="J41" s="47"/>
      <c r="K41" s="47"/>
      <c r="L41" s="47"/>
      <c r="M41" s="48"/>
      <c r="N41" s="61"/>
      <c r="O41" s="47"/>
      <c r="P41" s="47"/>
      <c r="Q41" s="47"/>
      <c r="R41" s="48"/>
      <c r="S41" s="46">
        <v>2402.53</v>
      </c>
      <c r="T41" s="47"/>
      <c r="U41" s="47"/>
      <c r="V41" s="47"/>
      <c r="W41" s="48"/>
      <c r="X41" s="69">
        <v>2423.67</v>
      </c>
      <c r="Y41" s="47"/>
      <c r="Z41" s="47"/>
      <c r="AA41" s="47"/>
      <c r="AB41" s="48"/>
      <c r="AC41" s="91"/>
      <c r="AD41" s="47"/>
      <c r="AE41" s="47"/>
      <c r="AF41" s="47"/>
      <c r="AG41" s="48"/>
      <c r="AH41" s="52"/>
      <c r="AI41" s="47"/>
      <c r="AJ41" s="47"/>
      <c r="AK41" s="47"/>
      <c r="AL41" s="48"/>
      <c r="AM41" s="50"/>
      <c r="AN41" s="47"/>
      <c r="AO41" s="47"/>
      <c r="AP41" s="47"/>
      <c r="AQ41" s="48"/>
      <c r="AR41" s="51"/>
      <c r="AS41" s="47"/>
      <c r="AT41" s="47"/>
      <c r="AU41" s="47"/>
      <c r="AV41" s="48"/>
      <c r="AW41" s="79"/>
      <c r="AX41" s="47"/>
      <c r="AY41" s="47"/>
      <c r="AZ41" s="47"/>
      <c r="BA41" s="48"/>
      <c r="BB41" s="80"/>
      <c r="BC41" s="47"/>
      <c r="BD41" s="47"/>
      <c r="BE41" s="47"/>
      <c r="BF41" s="47"/>
      <c r="BG41" s="81"/>
      <c r="BH41" s="47"/>
      <c r="BI41" s="47"/>
      <c r="BJ41" s="47"/>
      <c r="BK41" s="56"/>
    </row>
    <row r="42" ht="21.0" customHeight="1">
      <c r="A42" s="78"/>
      <c r="B42" s="44" t="s">
        <v>23</v>
      </c>
      <c r="C42" s="44" t="s">
        <v>35</v>
      </c>
      <c r="D42" s="45">
        <v>44943.0</v>
      </c>
      <c r="E42" s="45">
        <v>44946.0</v>
      </c>
      <c r="F42" s="44" t="s">
        <v>36</v>
      </c>
      <c r="G42" s="44" t="s">
        <v>20</v>
      </c>
      <c r="H42" s="57" t="s">
        <v>21</v>
      </c>
      <c r="I42" s="50"/>
      <c r="J42" s="47"/>
      <c r="K42" s="47"/>
      <c r="L42" s="47"/>
      <c r="M42" s="48"/>
      <c r="N42" s="51"/>
      <c r="O42" s="47"/>
      <c r="P42" s="47"/>
      <c r="Q42" s="47"/>
      <c r="R42" s="48"/>
      <c r="S42" s="46">
        <v>1359.13</v>
      </c>
      <c r="T42" s="47"/>
      <c r="U42" s="47"/>
      <c r="V42" s="47"/>
      <c r="W42" s="48"/>
      <c r="X42" s="49">
        <v>1559.09</v>
      </c>
      <c r="Y42" s="47"/>
      <c r="Z42" s="47"/>
      <c r="AA42" s="47"/>
      <c r="AB42" s="48"/>
      <c r="AC42" s="91"/>
      <c r="AD42" s="47"/>
      <c r="AE42" s="47"/>
      <c r="AF42" s="47"/>
      <c r="AG42" s="48"/>
      <c r="AH42" s="52"/>
      <c r="AI42" s="47"/>
      <c r="AJ42" s="47"/>
      <c r="AK42" s="47"/>
      <c r="AL42" s="48"/>
      <c r="AM42" s="50"/>
      <c r="AN42" s="47"/>
      <c r="AO42" s="47"/>
      <c r="AP42" s="47"/>
      <c r="AQ42" s="48"/>
      <c r="AR42" s="51"/>
      <c r="AS42" s="47"/>
      <c r="AT42" s="47"/>
      <c r="AU42" s="47"/>
      <c r="AV42" s="48"/>
      <c r="AW42" s="79"/>
      <c r="AX42" s="47"/>
      <c r="AY42" s="47"/>
      <c r="AZ42" s="47"/>
      <c r="BA42" s="48"/>
      <c r="BB42" s="80"/>
      <c r="BC42" s="47"/>
      <c r="BD42" s="47"/>
      <c r="BE42" s="47"/>
      <c r="BF42" s="47"/>
      <c r="BG42" s="81"/>
      <c r="BH42" s="47"/>
      <c r="BI42" s="47"/>
      <c r="BJ42" s="47"/>
      <c r="BK42" s="56"/>
    </row>
    <row r="43" ht="21.0" customHeight="1">
      <c r="A43" s="78"/>
      <c r="B43" s="44" t="s">
        <v>185</v>
      </c>
      <c r="C43" s="44" t="s">
        <v>186</v>
      </c>
      <c r="D43" s="45">
        <v>44949.0</v>
      </c>
      <c r="E43" s="45">
        <v>44953.0</v>
      </c>
      <c r="F43" s="44" t="s">
        <v>30</v>
      </c>
      <c r="G43" s="44" t="s">
        <v>187</v>
      </c>
      <c r="H43" s="44" t="s">
        <v>27</v>
      </c>
      <c r="I43" s="130"/>
      <c r="J43" s="47"/>
      <c r="K43" s="47"/>
      <c r="L43" s="47"/>
      <c r="M43" s="48"/>
      <c r="N43" s="61"/>
      <c r="O43" s="47"/>
      <c r="P43" s="47"/>
      <c r="Q43" s="47"/>
      <c r="R43" s="48"/>
      <c r="S43" s="46">
        <v>2018.46</v>
      </c>
      <c r="T43" s="47"/>
      <c r="U43" s="47"/>
      <c r="V43" s="47"/>
      <c r="W43" s="48"/>
      <c r="X43" s="105">
        <v>1885.06</v>
      </c>
      <c r="Y43" s="47"/>
      <c r="Z43" s="47"/>
      <c r="AA43" s="47"/>
      <c r="AB43" s="48"/>
      <c r="AC43" s="91"/>
      <c r="AD43" s="47"/>
      <c r="AE43" s="47"/>
      <c r="AF43" s="47"/>
      <c r="AG43" s="48"/>
      <c r="AH43" s="52"/>
      <c r="AI43" s="47"/>
      <c r="AJ43" s="47"/>
      <c r="AK43" s="47"/>
      <c r="AL43" s="48"/>
      <c r="AM43" s="50"/>
      <c r="AN43" s="47"/>
      <c r="AO43" s="47"/>
      <c r="AP43" s="47"/>
      <c r="AQ43" s="48"/>
      <c r="AR43" s="51"/>
      <c r="AS43" s="47"/>
      <c r="AT43" s="47"/>
      <c r="AU43" s="47"/>
      <c r="AV43" s="56"/>
      <c r="AW43" s="79"/>
      <c r="AX43" s="47"/>
      <c r="AY43" s="47"/>
      <c r="AZ43" s="47"/>
      <c r="BA43" s="48"/>
      <c r="BB43" s="80"/>
      <c r="BC43" s="47"/>
      <c r="BD43" s="47"/>
      <c r="BE43" s="47"/>
      <c r="BF43" s="47"/>
      <c r="BG43" s="81"/>
      <c r="BH43" s="47"/>
      <c r="BI43" s="47"/>
      <c r="BJ43" s="47"/>
      <c r="BK43" s="56"/>
    </row>
    <row r="44" ht="21.0" customHeight="1">
      <c r="A44" s="78"/>
      <c r="B44" s="44" t="s">
        <v>189</v>
      </c>
      <c r="C44" s="44" t="s">
        <v>160</v>
      </c>
      <c r="D44" s="45">
        <v>44962.0</v>
      </c>
      <c r="E44" s="45">
        <v>44967.0</v>
      </c>
      <c r="F44" s="44" t="s">
        <v>161</v>
      </c>
      <c r="G44" s="44" t="s">
        <v>59</v>
      </c>
      <c r="H44" s="57" t="s">
        <v>27</v>
      </c>
      <c r="I44" s="50"/>
      <c r="J44" s="47"/>
      <c r="K44" s="47"/>
      <c r="L44" s="47"/>
      <c r="M44" s="48"/>
      <c r="N44" s="51"/>
      <c r="O44" s="47"/>
      <c r="P44" s="47"/>
      <c r="Q44" s="47"/>
      <c r="R44" s="48"/>
      <c r="S44" s="46">
        <v>2199.42</v>
      </c>
      <c r="T44" s="47"/>
      <c r="U44" s="47"/>
      <c r="V44" s="47"/>
      <c r="W44" s="48"/>
      <c r="X44" s="71">
        <v>2000.42</v>
      </c>
      <c r="Y44" s="47"/>
      <c r="Z44" s="47"/>
      <c r="AA44" s="47"/>
      <c r="AB44" s="48"/>
      <c r="AC44" s="91"/>
      <c r="AD44" s="47"/>
      <c r="AE44" s="47"/>
      <c r="AF44" s="47"/>
      <c r="AG44" s="48"/>
      <c r="AH44" s="52"/>
      <c r="AI44" s="47"/>
      <c r="AJ44" s="47"/>
      <c r="AK44" s="47"/>
      <c r="AL44" s="48"/>
      <c r="AM44" s="50"/>
      <c r="AN44" s="47"/>
      <c r="AO44" s="47"/>
      <c r="AP44" s="47"/>
      <c r="AQ44" s="48"/>
      <c r="AR44" s="51"/>
      <c r="AS44" s="47"/>
      <c r="AT44" s="47"/>
      <c r="AU44" s="47"/>
      <c r="AV44" s="56"/>
      <c r="AW44" s="79"/>
      <c r="AX44" s="47"/>
      <c r="AY44" s="47"/>
      <c r="AZ44" s="47"/>
      <c r="BA44" s="48"/>
      <c r="BB44" s="80"/>
      <c r="BC44" s="47"/>
      <c r="BD44" s="47"/>
      <c r="BE44" s="47"/>
      <c r="BF44" s="47"/>
      <c r="BG44" s="81"/>
      <c r="BH44" s="47"/>
      <c r="BI44" s="47"/>
      <c r="BJ44" s="47"/>
      <c r="BK44" s="56"/>
    </row>
    <row r="45" ht="21.0" customHeight="1">
      <c r="A45" s="78"/>
      <c r="B45" s="44" t="s">
        <v>191</v>
      </c>
      <c r="C45" s="44" t="s">
        <v>186</v>
      </c>
      <c r="D45" s="45">
        <v>44948.0</v>
      </c>
      <c r="E45" s="45">
        <v>44953.0</v>
      </c>
      <c r="F45" s="44" t="s">
        <v>30</v>
      </c>
      <c r="G45" s="44" t="s">
        <v>187</v>
      </c>
      <c r="H45" s="57" t="s">
        <v>27</v>
      </c>
      <c r="I45" s="50"/>
      <c r="J45" s="47"/>
      <c r="K45" s="47"/>
      <c r="L45" s="47"/>
      <c r="M45" s="48"/>
      <c r="N45" s="51"/>
      <c r="O45" s="47"/>
      <c r="P45" s="47"/>
      <c r="Q45" s="47"/>
      <c r="R45" s="48"/>
      <c r="S45" s="46">
        <v>2206.76</v>
      </c>
      <c r="T45" s="47"/>
      <c r="U45" s="47"/>
      <c r="V45" s="47"/>
      <c r="W45" s="48"/>
      <c r="X45" s="105">
        <v>1739.47</v>
      </c>
      <c r="Y45" s="47"/>
      <c r="Z45" s="47"/>
      <c r="AA45" s="47"/>
      <c r="AB45" s="48"/>
      <c r="AC45" s="91"/>
      <c r="AD45" s="47"/>
      <c r="AE45" s="47"/>
      <c r="AF45" s="47"/>
      <c r="AG45" s="48"/>
      <c r="AH45" s="52"/>
      <c r="AI45" s="47"/>
      <c r="AJ45" s="47"/>
      <c r="AK45" s="47"/>
      <c r="AL45" s="48"/>
      <c r="AM45" s="50"/>
      <c r="AN45" s="47"/>
      <c r="AO45" s="47"/>
      <c r="AP45" s="47"/>
      <c r="AQ45" s="48"/>
      <c r="AR45" s="51"/>
      <c r="AS45" s="47"/>
      <c r="AT45" s="47"/>
      <c r="AU45" s="47"/>
      <c r="AV45" s="56"/>
      <c r="AW45" s="79"/>
      <c r="AX45" s="47"/>
      <c r="AY45" s="47"/>
      <c r="AZ45" s="47"/>
      <c r="BA45" s="48"/>
      <c r="BB45" s="80"/>
      <c r="BC45" s="47"/>
      <c r="BD45" s="47"/>
      <c r="BE45" s="47"/>
      <c r="BF45" s="47"/>
      <c r="BG45" s="81"/>
      <c r="BH45" s="47"/>
      <c r="BI45" s="47"/>
      <c r="BJ45" s="47"/>
      <c r="BK45" s="56"/>
    </row>
    <row r="46" ht="21.0" customHeight="1">
      <c r="A46" s="78"/>
      <c r="B46" s="44" t="s">
        <v>165</v>
      </c>
      <c r="C46" s="44" t="s">
        <v>160</v>
      </c>
      <c r="D46" s="45" t="s">
        <v>167</v>
      </c>
      <c r="E46" s="45">
        <v>44965.0</v>
      </c>
      <c r="F46" s="44" t="s">
        <v>161</v>
      </c>
      <c r="G46" s="44" t="s">
        <v>59</v>
      </c>
      <c r="H46" s="44" t="s">
        <v>27</v>
      </c>
      <c r="I46" s="60"/>
      <c r="J46" s="47"/>
      <c r="K46" s="47"/>
      <c r="L46" s="47"/>
      <c r="M46" s="48"/>
      <c r="N46" s="61"/>
      <c r="O46" s="47"/>
      <c r="P46" s="47"/>
      <c r="Q46" s="47"/>
      <c r="R46" s="47"/>
      <c r="S46" s="46">
        <v>1019.27</v>
      </c>
      <c r="T46" s="47"/>
      <c r="U46" s="47"/>
      <c r="V46" s="47"/>
      <c r="W46" s="48"/>
      <c r="X46" s="71">
        <v>1036.8</v>
      </c>
      <c r="Y46" s="47"/>
      <c r="Z46" s="47"/>
      <c r="AA46" s="47"/>
      <c r="AB46" s="48"/>
      <c r="AC46" s="91"/>
      <c r="AD46" s="47"/>
      <c r="AE46" s="47"/>
      <c r="AF46" s="47"/>
      <c r="AG46" s="48"/>
      <c r="AH46" s="52"/>
      <c r="AI46" s="47"/>
      <c r="AJ46" s="47"/>
      <c r="AK46" s="47"/>
      <c r="AL46" s="48"/>
      <c r="AM46" s="50"/>
      <c r="AN46" s="47"/>
      <c r="AO46" s="47"/>
      <c r="AP46" s="47"/>
      <c r="AQ46" s="48"/>
      <c r="AR46" s="51"/>
      <c r="AS46" s="47"/>
      <c r="AT46" s="47"/>
      <c r="AU46" s="47"/>
      <c r="AV46" s="48"/>
      <c r="AW46" s="79"/>
      <c r="AX46" s="47"/>
      <c r="AY46" s="47"/>
      <c r="AZ46" s="47"/>
      <c r="BA46" s="48"/>
      <c r="BB46" s="80"/>
      <c r="BC46" s="47"/>
      <c r="BD46" s="47"/>
      <c r="BE46" s="47"/>
      <c r="BF46" s="47"/>
      <c r="BG46" s="81"/>
      <c r="BH46" s="47"/>
      <c r="BI46" s="47"/>
      <c r="BJ46" s="47"/>
      <c r="BK46" s="56"/>
    </row>
    <row r="47" ht="21.0" customHeight="1">
      <c r="A47" s="78"/>
      <c r="B47" s="44" t="s">
        <v>138</v>
      </c>
      <c r="C47" s="44" t="s">
        <v>196</v>
      </c>
      <c r="D47" s="45">
        <v>44969.0</v>
      </c>
      <c r="E47" s="45">
        <v>44974.0</v>
      </c>
      <c r="F47" s="44" t="s">
        <v>30</v>
      </c>
      <c r="G47" s="44" t="s">
        <v>59</v>
      </c>
      <c r="H47" s="44" t="s">
        <v>27</v>
      </c>
      <c r="I47" s="50"/>
      <c r="J47" s="47"/>
      <c r="K47" s="47"/>
      <c r="L47" s="47"/>
      <c r="M47" s="48"/>
      <c r="N47" s="61"/>
      <c r="O47" s="47"/>
      <c r="P47" s="47"/>
      <c r="Q47" s="47"/>
      <c r="R47" s="48"/>
      <c r="S47" s="46">
        <v>2028.32</v>
      </c>
      <c r="T47" s="47"/>
      <c r="U47" s="47"/>
      <c r="V47" s="47"/>
      <c r="W47" s="48"/>
      <c r="X47" s="82">
        <v>1707.94</v>
      </c>
      <c r="Y47" s="47"/>
      <c r="Z47" s="47"/>
      <c r="AA47" s="47"/>
      <c r="AB47" s="48"/>
      <c r="AC47" s="91"/>
      <c r="AD47" s="47"/>
      <c r="AE47" s="47"/>
      <c r="AF47" s="47"/>
      <c r="AG47" s="48"/>
      <c r="AH47" s="52"/>
      <c r="AI47" s="47"/>
      <c r="AJ47" s="47"/>
      <c r="AK47" s="47"/>
      <c r="AL47" s="48"/>
      <c r="AM47" s="50"/>
      <c r="AN47" s="47"/>
      <c r="AO47" s="47"/>
      <c r="AP47" s="47"/>
      <c r="AQ47" s="48"/>
      <c r="AR47" s="51"/>
      <c r="AS47" s="47"/>
      <c r="AT47" s="47"/>
      <c r="AU47" s="47"/>
      <c r="AV47" s="48"/>
      <c r="AW47" s="79"/>
      <c r="AX47" s="47"/>
      <c r="AY47" s="47"/>
      <c r="AZ47" s="47"/>
      <c r="BA47" s="48"/>
      <c r="BB47" s="80"/>
      <c r="BC47" s="47"/>
      <c r="BD47" s="47"/>
      <c r="BE47" s="47"/>
      <c r="BF47" s="47"/>
      <c r="BG47" s="81"/>
      <c r="BH47" s="47"/>
      <c r="BI47" s="47"/>
      <c r="BJ47" s="47"/>
      <c r="BK47" s="56"/>
    </row>
    <row r="48" ht="21.0" customHeight="1">
      <c r="A48" s="78"/>
      <c r="B48" s="44" t="s">
        <v>200</v>
      </c>
      <c r="C48" s="44" t="s">
        <v>201</v>
      </c>
      <c r="D48" s="45">
        <v>44948.0</v>
      </c>
      <c r="E48" s="45">
        <v>44953.0</v>
      </c>
      <c r="F48" s="44" t="s">
        <v>30</v>
      </c>
      <c r="G48" s="44" t="s">
        <v>187</v>
      </c>
      <c r="H48" s="44" t="s">
        <v>27</v>
      </c>
      <c r="I48" s="60"/>
      <c r="J48" s="47"/>
      <c r="K48" s="47"/>
      <c r="L48" s="47"/>
      <c r="M48" s="48"/>
      <c r="N48" s="61"/>
      <c r="O48" s="47"/>
      <c r="P48" s="47"/>
      <c r="Q48" s="47"/>
      <c r="R48" s="48"/>
      <c r="S48" s="46">
        <v>1350.47</v>
      </c>
      <c r="T48" s="47"/>
      <c r="U48" s="47"/>
      <c r="V48" s="47"/>
      <c r="W48" s="48"/>
      <c r="X48" s="105">
        <v>1150.47</v>
      </c>
      <c r="Y48" s="47"/>
      <c r="Z48" s="47"/>
      <c r="AA48" s="47"/>
      <c r="AB48" s="48"/>
      <c r="AC48" s="91"/>
      <c r="AD48" s="47"/>
      <c r="AE48" s="47"/>
      <c r="AF48" s="47"/>
      <c r="AG48" s="48"/>
      <c r="AH48" s="52"/>
      <c r="AI48" s="47"/>
      <c r="AJ48" s="47"/>
      <c r="AK48" s="47"/>
      <c r="AL48" s="48"/>
      <c r="AM48" s="50"/>
      <c r="AN48" s="47"/>
      <c r="AO48" s="47"/>
      <c r="AP48" s="47"/>
      <c r="AQ48" s="48"/>
      <c r="AR48" s="51"/>
      <c r="AS48" s="47"/>
      <c r="AT48" s="47"/>
      <c r="AU48" s="47"/>
      <c r="AV48" s="48"/>
      <c r="AW48" s="79"/>
      <c r="AX48" s="47"/>
      <c r="AY48" s="47"/>
      <c r="AZ48" s="47"/>
      <c r="BA48" s="48"/>
      <c r="BB48" s="80"/>
      <c r="BC48" s="47"/>
      <c r="BD48" s="47"/>
      <c r="BE48" s="47"/>
      <c r="BF48" s="47"/>
      <c r="BG48" s="81"/>
      <c r="BH48" s="47"/>
      <c r="BI48" s="47"/>
      <c r="BJ48" s="47"/>
      <c r="BK48" s="56"/>
    </row>
    <row r="49" ht="21.0" customHeight="1">
      <c r="A49" s="78"/>
      <c r="B49" s="44" t="s">
        <v>129</v>
      </c>
      <c r="C49" s="44" t="s">
        <v>204</v>
      </c>
      <c r="D49" s="45">
        <v>44969.0</v>
      </c>
      <c r="E49" s="45">
        <v>44974.0</v>
      </c>
      <c r="F49" s="44" t="s">
        <v>30</v>
      </c>
      <c r="G49" s="44" t="s">
        <v>59</v>
      </c>
      <c r="H49" s="57" t="s">
        <v>27</v>
      </c>
      <c r="I49" s="50"/>
      <c r="J49" s="47"/>
      <c r="K49" s="47"/>
      <c r="L49" s="47"/>
      <c r="M49" s="48"/>
      <c r="N49" s="51"/>
      <c r="O49" s="47"/>
      <c r="P49" s="47"/>
      <c r="Q49" s="47"/>
      <c r="R49" s="48"/>
      <c r="S49" s="46">
        <v>1768.74</v>
      </c>
      <c r="T49" s="47"/>
      <c r="U49" s="47"/>
      <c r="V49" s="47"/>
      <c r="W49" s="48"/>
      <c r="X49" s="71">
        <v>1752.67</v>
      </c>
      <c r="Y49" s="47"/>
      <c r="Z49" s="47"/>
      <c r="AA49" s="47"/>
      <c r="AB49" s="48"/>
      <c r="AC49" s="91"/>
      <c r="AD49" s="47"/>
      <c r="AE49" s="47"/>
      <c r="AF49" s="47"/>
      <c r="AG49" s="48"/>
      <c r="AH49" s="52"/>
      <c r="AI49" s="47"/>
      <c r="AJ49" s="47"/>
      <c r="AK49" s="47"/>
      <c r="AL49" s="48"/>
      <c r="AM49" s="50"/>
      <c r="AN49" s="47"/>
      <c r="AO49" s="47"/>
      <c r="AP49" s="47"/>
      <c r="AQ49" s="48"/>
      <c r="AR49" s="51"/>
      <c r="AS49" s="47"/>
      <c r="AT49" s="47"/>
      <c r="AU49" s="47"/>
      <c r="AV49" s="48"/>
      <c r="AW49" s="79"/>
      <c r="AX49" s="47"/>
      <c r="AY49" s="47"/>
      <c r="AZ49" s="47"/>
      <c r="BA49" s="48"/>
      <c r="BB49" s="80"/>
      <c r="BC49" s="47"/>
      <c r="BD49" s="47"/>
      <c r="BE49" s="47"/>
      <c r="BF49" s="47"/>
      <c r="BG49" s="81"/>
      <c r="BH49" s="47"/>
      <c r="BI49" s="47"/>
      <c r="BJ49" s="47"/>
      <c r="BK49" s="56"/>
    </row>
    <row r="50" ht="21.0" customHeight="1">
      <c r="A50" s="78"/>
      <c r="B50" s="44" t="s">
        <v>146</v>
      </c>
      <c r="C50" s="44" t="s">
        <v>204</v>
      </c>
      <c r="D50" s="45">
        <v>44971.0</v>
      </c>
      <c r="E50" s="45">
        <v>44973.0</v>
      </c>
      <c r="F50" s="44" t="s">
        <v>30</v>
      </c>
      <c r="G50" s="44" t="s">
        <v>59</v>
      </c>
      <c r="H50" s="57" t="s">
        <v>27</v>
      </c>
      <c r="I50" s="50"/>
      <c r="J50" s="47"/>
      <c r="K50" s="47"/>
      <c r="L50" s="47"/>
      <c r="M50" s="48"/>
      <c r="N50" s="51"/>
      <c r="O50" s="47"/>
      <c r="P50" s="47"/>
      <c r="Q50" s="47"/>
      <c r="R50" s="48"/>
      <c r="S50" s="46">
        <v>728.12</v>
      </c>
      <c r="T50" s="47"/>
      <c r="U50" s="47"/>
      <c r="V50" s="47"/>
      <c r="W50" s="48"/>
      <c r="X50" s="71">
        <v>662.12</v>
      </c>
      <c r="Y50" s="47"/>
      <c r="Z50" s="47"/>
      <c r="AA50" s="47"/>
      <c r="AB50" s="48"/>
      <c r="AC50" s="91"/>
      <c r="AD50" s="47"/>
      <c r="AE50" s="47"/>
      <c r="AF50" s="47"/>
      <c r="AG50" s="48"/>
      <c r="AH50" s="52"/>
      <c r="AI50" s="47"/>
      <c r="AJ50" s="47"/>
      <c r="AK50" s="47"/>
      <c r="AL50" s="48"/>
      <c r="AM50" s="50"/>
      <c r="AN50" s="47"/>
      <c r="AO50" s="47"/>
      <c r="AP50" s="47"/>
      <c r="AQ50" s="48"/>
      <c r="AR50" s="51"/>
      <c r="AS50" s="47"/>
      <c r="AT50" s="47"/>
      <c r="AU50" s="47"/>
      <c r="AV50" s="48"/>
      <c r="AW50" s="79"/>
      <c r="AX50" s="47"/>
      <c r="AY50" s="47"/>
      <c r="AZ50" s="47"/>
      <c r="BA50" s="48"/>
      <c r="BB50" s="80"/>
      <c r="BC50" s="47"/>
      <c r="BD50" s="47"/>
      <c r="BE50" s="47"/>
      <c r="BF50" s="47"/>
      <c r="BG50" s="81"/>
      <c r="BH50" s="47"/>
      <c r="BI50" s="47"/>
      <c r="BJ50" s="47"/>
      <c r="BK50" s="56"/>
    </row>
    <row r="51" ht="21.0" customHeight="1">
      <c r="A51" s="78"/>
      <c r="B51" s="44" t="s">
        <v>152</v>
      </c>
      <c r="C51" s="44" t="s">
        <v>171</v>
      </c>
      <c r="D51" s="45">
        <v>44966.0</v>
      </c>
      <c r="E51" s="45">
        <v>44975.0</v>
      </c>
      <c r="F51" s="44" t="s">
        <v>30</v>
      </c>
      <c r="G51" s="44" t="s">
        <v>26</v>
      </c>
      <c r="H51" s="44" t="s">
        <v>34</v>
      </c>
      <c r="I51" s="60"/>
      <c r="J51" s="47"/>
      <c r="K51" s="47"/>
      <c r="L51" s="47"/>
      <c r="M51" s="48"/>
      <c r="N51" s="61"/>
      <c r="O51" s="47"/>
      <c r="P51" s="47"/>
      <c r="Q51" s="47"/>
      <c r="R51" s="47"/>
      <c r="S51" s="46">
        <v>6624.36</v>
      </c>
      <c r="T51" s="47"/>
      <c r="U51" s="47"/>
      <c r="V51" s="47"/>
      <c r="W51" s="48"/>
      <c r="X51" s="71">
        <v>6590.66</v>
      </c>
      <c r="Y51" s="47"/>
      <c r="Z51" s="47"/>
      <c r="AA51" s="47"/>
      <c r="AB51" s="48"/>
      <c r="AC51" s="91"/>
      <c r="AD51" s="47"/>
      <c r="AE51" s="47"/>
      <c r="AF51" s="47"/>
      <c r="AG51" s="48"/>
      <c r="AH51" s="51"/>
      <c r="AI51" s="47"/>
      <c r="AJ51" s="47"/>
      <c r="AK51" s="47"/>
      <c r="AL51" s="48"/>
      <c r="AM51" s="50"/>
      <c r="AN51" s="47"/>
      <c r="AO51" s="47"/>
      <c r="AP51" s="47"/>
      <c r="AQ51" s="48"/>
      <c r="AR51" s="51"/>
      <c r="AS51" s="47"/>
      <c r="AT51" s="47"/>
      <c r="AU51" s="47"/>
      <c r="AV51" s="48"/>
      <c r="AW51" s="79"/>
      <c r="AX51" s="47"/>
      <c r="AY51" s="47"/>
      <c r="AZ51" s="47"/>
      <c r="BA51" s="48"/>
      <c r="BB51" s="80"/>
      <c r="BC51" s="47"/>
      <c r="BD51" s="47"/>
      <c r="BE51" s="47"/>
      <c r="BF51" s="47"/>
      <c r="BG51" s="81"/>
      <c r="BH51" s="47"/>
      <c r="BI51" s="47"/>
      <c r="BJ51" s="47"/>
      <c r="BK51" s="56"/>
    </row>
    <row r="52" ht="21.0" customHeight="1">
      <c r="A52" s="78"/>
      <c r="B52" s="44" t="s">
        <v>150</v>
      </c>
      <c r="C52" s="44" t="s">
        <v>205</v>
      </c>
      <c r="D52" s="45">
        <v>44978.0</v>
      </c>
      <c r="E52" s="45">
        <v>44979.0</v>
      </c>
      <c r="F52" s="44" t="s">
        <v>209</v>
      </c>
      <c r="G52" s="44" t="s">
        <v>59</v>
      </c>
      <c r="H52" s="57" t="s">
        <v>27</v>
      </c>
      <c r="I52" s="50"/>
      <c r="J52" s="47"/>
      <c r="K52" s="47"/>
      <c r="L52" s="47"/>
      <c r="M52" s="48"/>
      <c r="N52" s="51"/>
      <c r="O52" s="47"/>
      <c r="P52" s="47"/>
      <c r="Q52" s="47"/>
      <c r="R52" s="48"/>
      <c r="S52" s="46">
        <v>250.43</v>
      </c>
      <c r="T52" s="47"/>
      <c r="U52" s="47"/>
      <c r="V52" s="47"/>
      <c r="W52" s="48"/>
      <c r="X52" s="71">
        <v>250.43</v>
      </c>
      <c r="Y52" s="47"/>
      <c r="Z52" s="47"/>
      <c r="AA52" s="47"/>
      <c r="AB52" s="48"/>
      <c r="AC52" s="91"/>
      <c r="AD52" s="47"/>
      <c r="AE52" s="47"/>
      <c r="AF52" s="47"/>
      <c r="AG52" s="48"/>
      <c r="AH52" s="52"/>
      <c r="AI52" s="47"/>
      <c r="AJ52" s="47"/>
      <c r="AK52" s="47"/>
      <c r="AL52" s="48"/>
      <c r="AM52" s="50"/>
      <c r="AN52" s="47"/>
      <c r="AO52" s="47"/>
      <c r="AP52" s="47"/>
      <c r="AQ52" s="48"/>
      <c r="AR52" s="51"/>
      <c r="AS52" s="47"/>
      <c r="AT52" s="47"/>
      <c r="AU52" s="47"/>
      <c r="AV52" s="48"/>
      <c r="AW52" s="79"/>
      <c r="AX52" s="47"/>
      <c r="AY52" s="47"/>
      <c r="AZ52" s="47"/>
      <c r="BA52" s="48"/>
      <c r="BB52" s="80"/>
      <c r="BC52" s="47"/>
      <c r="BD52" s="47"/>
      <c r="BE52" s="47"/>
      <c r="BF52" s="47"/>
      <c r="BG52" s="81"/>
      <c r="BH52" s="47"/>
      <c r="BI52" s="47"/>
      <c r="BJ52" s="47"/>
      <c r="BK52" s="56"/>
    </row>
    <row r="53" ht="21.0" customHeight="1">
      <c r="A53" s="78"/>
      <c r="B53" s="44" t="s">
        <v>211</v>
      </c>
      <c r="C53" s="44" t="s">
        <v>201</v>
      </c>
      <c r="D53" s="45">
        <v>44949.0</v>
      </c>
      <c r="E53" s="45">
        <v>44953.0</v>
      </c>
      <c r="F53" s="44" t="s">
        <v>30</v>
      </c>
      <c r="G53" s="44" t="s">
        <v>187</v>
      </c>
      <c r="H53" s="44" t="s">
        <v>60</v>
      </c>
      <c r="I53" s="60"/>
      <c r="J53" s="47"/>
      <c r="K53" s="47"/>
      <c r="L53" s="47"/>
      <c r="M53" s="48"/>
      <c r="N53" s="61"/>
      <c r="O53" s="47"/>
      <c r="P53" s="47"/>
      <c r="Q53" s="47"/>
      <c r="R53" s="48"/>
      <c r="S53" s="46" t="s">
        <v>56</v>
      </c>
      <c r="T53" s="47"/>
      <c r="U53" s="47"/>
      <c r="V53" s="47"/>
      <c r="W53" s="48"/>
      <c r="X53" s="105">
        <v>42.0</v>
      </c>
      <c r="Y53" s="47"/>
      <c r="Z53" s="47"/>
      <c r="AA53" s="47"/>
      <c r="AB53" s="48"/>
      <c r="AC53" s="91"/>
      <c r="AD53" s="47"/>
      <c r="AE53" s="47"/>
      <c r="AF53" s="47"/>
      <c r="AG53" s="48"/>
      <c r="AH53" s="52"/>
      <c r="AI53" s="47"/>
      <c r="AJ53" s="47"/>
      <c r="AK53" s="47"/>
      <c r="AL53" s="48"/>
      <c r="AM53" s="50"/>
      <c r="AN53" s="47"/>
      <c r="AO53" s="47"/>
      <c r="AP53" s="47"/>
      <c r="AQ53" s="48"/>
      <c r="AR53" s="51"/>
      <c r="AS53" s="47"/>
      <c r="AT53" s="47"/>
      <c r="AU53" s="47"/>
      <c r="AV53" s="48"/>
      <c r="AW53" s="79"/>
      <c r="AX53" s="47"/>
      <c r="AY53" s="47"/>
      <c r="AZ53" s="47"/>
      <c r="BA53" s="48"/>
      <c r="BB53" s="80"/>
      <c r="BC53" s="47"/>
      <c r="BD53" s="47"/>
      <c r="BE53" s="47"/>
      <c r="BF53" s="47"/>
      <c r="BG53" s="81"/>
      <c r="BH53" s="47"/>
      <c r="BI53" s="47"/>
      <c r="BJ53" s="47"/>
      <c r="BK53" s="56"/>
    </row>
    <row r="54" ht="21.0" customHeight="1">
      <c r="A54" s="78"/>
      <c r="B54" s="119" t="s">
        <v>132</v>
      </c>
      <c r="C54" s="119" t="s">
        <v>213</v>
      </c>
      <c r="D54" s="120">
        <v>44956.0</v>
      </c>
      <c r="E54" s="120">
        <v>44959.0</v>
      </c>
      <c r="F54" s="119" t="s">
        <v>214</v>
      </c>
      <c r="G54" s="119" t="s">
        <v>26</v>
      </c>
      <c r="H54" s="121" t="s">
        <v>27</v>
      </c>
      <c r="I54" s="60"/>
      <c r="J54" s="47"/>
      <c r="K54" s="47"/>
      <c r="L54" s="47"/>
      <c r="M54" s="48"/>
      <c r="N54" s="61"/>
      <c r="O54" s="47"/>
      <c r="P54" s="47"/>
      <c r="Q54" s="47"/>
      <c r="R54" s="48"/>
      <c r="S54" s="46">
        <v>1179.74</v>
      </c>
      <c r="T54" s="47"/>
      <c r="U54" s="47"/>
      <c r="V54" s="47"/>
      <c r="W54" s="48"/>
      <c r="X54" s="69">
        <v>1401.89</v>
      </c>
      <c r="Y54" s="47"/>
      <c r="Z54" s="47"/>
      <c r="AA54" s="47"/>
      <c r="AB54" s="48"/>
      <c r="AC54" s="91"/>
      <c r="AD54" s="47"/>
      <c r="AE54" s="47"/>
      <c r="AF54" s="47"/>
      <c r="AG54" s="48"/>
      <c r="AH54" s="52"/>
      <c r="AI54" s="47"/>
      <c r="AJ54" s="47"/>
      <c r="AK54" s="47"/>
      <c r="AL54" s="48"/>
      <c r="AM54" s="50"/>
      <c r="AN54" s="47"/>
      <c r="AO54" s="47"/>
      <c r="AP54" s="47"/>
      <c r="AQ54" s="48"/>
      <c r="AR54" s="51"/>
      <c r="AS54" s="47"/>
      <c r="AT54" s="47"/>
      <c r="AU54" s="47"/>
      <c r="AV54" s="48"/>
      <c r="AW54" s="79"/>
      <c r="AX54" s="47"/>
      <c r="AY54" s="47"/>
      <c r="AZ54" s="47"/>
      <c r="BA54" s="48"/>
      <c r="BB54" s="80"/>
      <c r="BC54" s="47"/>
      <c r="BD54" s="47"/>
      <c r="BE54" s="47"/>
      <c r="BF54" s="47"/>
      <c r="BG54" s="81"/>
      <c r="BH54" s="47"/>
      <c r="BI54" s="47"/>
      <c r="BJ54" s="47"/>
      <c r="BK54" s="56"/>
    </row>
    <row r="55" ht="21.0" customHeight="1">
      <c r="A55" s="78"/>
      <c r="B55" s="44" t="s">
        <v>173</v>
      </c>
      <c r="C55" s="44" t="s">
        <v>168</v>
      </c>
      <c r="D55" s="45">
        <v>44979.0</v>
      </c>
      <c r="E55" s="45">
        <v>44982.0</v>
      </c>
      <c r="F55" s="44" t="s">
        <v>174</v>
      </c>
      <c r="G55" s="44" t="s">
        <v>26</v>
      </c>
      <c r="H55" s="57" t="s">
        <v>21</v>
      </c>
      <c r="I55" s="60"/>
      <c r="J55" s="47"/>
      <c r="K55" s="47"/>
      <c r="L55" s="47"/>
      <c r="M55" s="48"/>
      <c r="N55" s="61"/>
      <c r="O55" s="47"/>
      <c r="P55" s="47"/>
      <c r="Q55" s="47"/>
      <c r="R55" s="47"/>
      <c r="S55" s="46">
        <v>1199.5</v>
      </c>
      <c r="T55" s="47"/>
      <c r="U55" s="47"/>
      <c r="V55" s="47"/>
      <c r="W55" s="48"/>
      <c r="X55" s="71">
        <v>1352.66</v>
      </c>
      <c r="Y55" s="47"/>
      <c r="Z55" s="47"/>
      <c r="AA55" s="47"/>
      <c r="AB55" s="48"/>
      <c r="AC55" s="91"/>
      <c r="AD55" s="47"/>
      <c r="AE55" s="47"/>
      <c r="AF55" s="47"/>
      <c r="AG55" s="48"/>
      <c r="AH55" s="52"/>
      <c r="AI55" s="47"/>
      <c r="AJ55" s="47"/>
      <c r="AK55" s="47"/>
      <c r="AL55" s="48"/>
      <c r="AM55" s="50"/>
      <c r="AN55" s="47"/>
      <c r="AO55" s="47"/>
      <c r="AP55" s="47"/>
      <c r="AQ55" s="48"/>
      <c r="AR55" s="51"/>
      <c r="AS55" s="47"/>
      <c r="AT55" s="47"/>
      <c r="AU55" s="47"/>
      <c r="AV55" s="48"/>
      <c r="AW55" s="79"/>
      <c r="AX55" s="47"/>
      <c r="AY55" s="47"/>
      <c r="AZ55" s="47"/>
      <c r="BA55" s="48"/>
      <c r="BB55" s="80"/>
      <c r="BC55" s="47"/>
      <c r="BD55" s="47"/>
      <c r="BE55" s="47"/>
      <c r="BF55" s="47"/>
      <c r="BG55" s="81"/>
      <c r="BH55" s="47"/>
      <c r="BI55" s="47"/>
      <c r="BJ55" s="47"/>
      <c r="BK55" s="56"/>
    </row>
    <row r="56" ht="21.0" customHeight="1">
      <c r="A56" s="78"/>
      <c r="B56" s="44" t="s">
        <v>51</v>
      </c>
      <c r="C56" s="44" t="s">
        <v>77</v>
      </c>
      <c r="D56" s="45">
        <v>44975.0</v>
      </c>
      <c r="E56" s="45">
        <v>44982.0</v>
      </c>
      <c r="F56" s="44" t="s">
        <v>78</v>
      </c>
      <c r="G56" s="44" t="s">
        <v>48</v>
      </c>
      <c r="H56" s="57" t="s">
        <v>49</v>
      </c>
      <c r="I56" s="50"/>
      <c r="J56" s="47"/>
      <c r="K56" s="47"/>
      <c r="L56" s="47"/>
      <c r="M56" s="48"/>
      <c r="N56" s="61"/>
      <c r="O56" s="47"/>
      <c r="P56" s="47"/>
      <c r="Q56" s="47"/>
      <c r="R56" s="48"/>
      <c r="S56" s="46">
        <v>2915.02</v>
      </c>
      <c r="T56" s="47"/>
      <c r="U56" s="47"/>
      <c r="V56" s="47"/>
      <c r="W56" s="48"/>
      <c r="X56" s="69">
        <v>2873.77</v>
      </c>
      <c r="Y56" s="47"/>
      <c r="Z56" s="47"/>
      <c r="AA56" s="47"/>
      <c r="AB56" s="48"/>
      <c r="AC56" s="50"/>
      <c r="AD56" s="47"/>
      <c r="AE56" s="47"/>
      <c r="AF56" s="47"/>
      <c r="AG56" s="48"/>
      <c r="AH56" s="52"/>
      <c r="AI56" s="47"/>
      <c r="AJ56" s="47"/>
      <c r="AK56" s="47"/>
      <c r="AL56" s="48"/>
      <c r="AM56" s="50"/>
      <c r="AN56" s="47"/>
      <c r="AO56" s="47"/>
      <c r="AP56" s="47"/>
      <c r="AQ56" s="48"/>
      <c r="AR56" s="87"/>
      <c r="AS56" s="47"/>
      <c r="AT56" s="47"/>
      <c r="AU56" s="47"/>
      <c r="AV56" s="47"/>
      <c r="AW56" s="79"/>
      <c r="AX56" s="47"/>
      <c r="AY56" s="47"/>
      <c r="AZ56" s="47"/>
      <c r="BA56" s="48"/>
      <c r="BB56" s="80"/>
      <c r="BC56" s="47"/>
      <c r="BD56" s="47"/>
      <c r="BE56" s="47"/>
      <c r="BF56" s="47"/>
      <c r="BG56" s="81"/>
      <c r="BH56" s="47"/>
      <c r="BI56" s="47"/>
      <c r="BJ56" s="47"/>
      <c r="BK56" s="56"/>
    </row>
    <row r="57" ht="21.0" customHeight="1">
      <c r="A57" s="78"/>
      <c r="B57" s="44" t="s">
        <v>118</v>
      </c>
      <c r="C57" s="44" t="s">
        <v>168</v>
      </c>
      <c r="D57" s="45">
        <v>44975.0</v>
      </c>
      <c r="E57" s="45">
        <v>44982.0</v>
      </c>
      <c r="F57" s="44" t="s">
        <v>169</v>
      </c>
      <c r="G57" s="44" t="s">
        <v>48</v>
      </c>
      <c r="H57" s="44" t="s">
        <v>49</v>
      </c>
      <c r="I57" s="60"/>
      <c r="J57" s="47"/>
      <c r="K57" s="47"/>
      <c r="L57" s="47"/>
      <c r="M57" s="48"/>
      <c r="N57" s="61"/>
      <c r="O57" s="47"/>
      <c r="P57" s="47"/>
      <c r="Q57" s="47"/>
      <c r="R57" s="47"/>
      <c r="S57" s="46">
        <v>3372.02</v>
      </c>
      <c r="T57" s="47"/>
      <c r="U57" s="47"/>
      <c r="V57" s="47"/>
      <c r="W57" s="48"/>
      <c r="X57" s="71">
        <v>3279.0</v>
      </c>
      <c r="Y57" s="47"/>
      <c r="Z57" s="47"/>
      <c r="AA57" s="47"/>
      <c r="AB57" s="48"/>
      <c r="AC57" s="50"/>
      <c r="AD57" s="47"/>
      <c r="AE57" s="47"/>
      <c r="AF57" s="47"/>
      <c r="AG57" s="48"/>
      <c r="AH57" s="52"/>
      <c r="AI57" s="47"/>
      <c r="AJ57" s="47"/>
      <c r="AK57" s="47"/>
      <c r="AL57" s="48"/>
      <c r="AM57" s="50"/>
      <c r="AN57" s="47"/>
      <c r="AO57" s="47"/>
      <c r="AP57" s="47"/>
      <c r="AQ57" s="48"/>
      <c r="AR57" s="87"/>
      <c r="AS57" s="47"/>
      <c r="AT57" s="47"/>
      <c r="AU57" s="47"/>
      <c r="AV57" s="47"/>
      <c r="AW57" s="79"/>
      <c r="AX57" s="47"/>
      <c r="AY57" s="47"/>
      <c r="AZ57" s="47"/>
      <c r="BA57" s="48"/>
      <c r="BB57" s="80"/>
      <c r="BC57" s="47"/>
      <c r="BD57" s="47"/>
      <c r="BE57" s="47"/>
      <c r="BF57" s="47"/>
      <c r="BG57" s="81"/>
      <c r="BH57" s="47"/>
      <c r="BI57" s="47"/>
      <c r="BJ57" s="47"/>
      <c r="BK57" s="56"/>
    </row>
    <row r="58" ht="21.0" customHeight="1">
      <c r="A58" s="78"/>
      <c r="B58" s="44" t="s">
        <v>220</v>
      </c>
      <c r="C58" s="44" t="s">
        <v>221</v>
      </c>
      <c r="D58" s="45">
        <v>44978.0</v>
      </c>
      <c r="E58" s="45">
        <v>44981.0</v>
      </c>
      <c r="F58" s="44" t="s">
        <v>222</v>
      </c>
      <c r="G58" s="44" t="s">
        <v>59</v>
      </c>
      <c r="H58" s="44" t="s">
        <v>27</v>
      </c>
      <c r="I58" s="50"/>
      <c r="J58" s="47"/>
      <c r="K58" s="47"/>
      <c r="L58" s="47"/>
      <c r="M58" s="48"/>
      <c r="N58" s="61"/>
      <c r="O58" s="47"/>
      <c r="P58" s="47"/>
      <c r="Q58" s="47"/>
      <c r="R58" s="48"/>
      <c r="S58" s="46">
        <v>1137.07</v>
      </c>
      <c r="T58" s="47"/>
      <c r="U58" s="47"/>
      <c r="V58" s="47"/>
      <c r="W58" s="48"/>
      <c r="X58" s="82">
        <v>1144.59</v>
      </c>
      <c r="Y58" s="47"/>
      <c r="Z58" s="47"/>
      <c r="AA58" s="47"/>
      <c r="AB58" s="48"/>
      <c r="AC58" s="50"/>
      <c r="AD58" s="47"/>
      <c r="AE58" s="47"/>
      <c r="AF58" s="47"/>
      <c r="AG58" s="48"/>
      <c r="AH58" s="52"/>
      <c r="AI58" s="47"/>
      <c r="AJ58" s="47"/>
      <c r="AK58" s="47"/>
      <c r="AL58" s="48"/>
      <c r="AM58" s="50"/>
      <c r="AN58" s="47"/>
      <c r="AO58" s="47"/>
      <c r="AP58" s="47"/>
      <c r="AQ58" s="48"/>
      <c r="AR58" s="87"/>
      <c r="AS58" s="47"/>
      <c r="AT58" s="47"/>
      <c r="AU58" s="47"/>
      <c r="AV58" s="47"/>
      <c r="AW58" s="79"/>
      <c r="AX58" s="47"/>
      <c r="AY58" s="47"/>
      <c r="AZ58" s="47"/>
      <c r="BA58" s="48"/>
      <c r="BB58" s="80"/>
      <c r="BC58" s="47"/>
      <c r="BD58" s="47"/>
      <c r="BE58" s="47"/>
      <c r="BF58" s="47"/>
      <c r="BG58" s="81"/>
      <c r="BH58" s="47"/>
      <c r="BI58" s="47"/>
      <c r="BJ58" s="47"/>
      <c r="BK58" s="56"/>
    </row>
    <row r="59" ht="21.0" customHeight="1">
      <c r="A59" s="78"/>
      <c r="B59" s="44" t="s">
        <v>17</v>
      </c>
      <c r="C59" s="44" t="s">
        <v>37</v>
      </c>
      <c r="D59" s="45">
        <v>44978.0</v>
      </c>
      <c r="E59" s="45">
        <v>44981.0</v>
      </c>
      <c r="F59" s="44" t="s">
        <v>38</v>
      </c>
      <c r="G59" s="44" t="s">
        <v>26</v>
      </c>
      <c r="H59" s="44" t="s">
        <v>21</v>
      </c>
      <c r="I59" s="60"/>
      <c r="J59" s="47"/>
      <c r="K59" s="47"/>
      <c r="L59" s="47"/>
      <c r="M59" s="48"/>
      <c r="N59" s="61"/>
      <c r="O59" s="47"/>
      <c r="P59" s="47"/>
      <c r="Q59" s="47"/>
      <c r="R59" s="48"/>
      <c r="S59" s="46">
        <v>1433.68</v>
      </c>
      <c r="T59" s="47"/>
      <c r="U59" s="47"/>
      <c r="V59" s="47"/>
      <c r="W59" s="48"/>
      <c r="X59" s="49">
        <v>1640.99</v>
      </c>
      <c r="Y59" s="47"/>
      <c r="Z59" s="47"/>
      <c r="AA59" s="47"/>
      <c r="AB59" s="48"/>
      <c r="AC59" s="50"/>
      <c r="AD59" s="47"/>
      <c r="AE59" s="47"/>
      <c r="AF59" s="47"/>
      <c r="AG59" s="48"/>
      <c r="AH59" s="52"/>
      <c r="AI59" s="47"/>
      <c r="AJ59" s="47"/>
      <c r="AK59" s="47"/>
      <c r="AL59" s="48"/>
      <c r="AM59" s="50"/>
      <c r="AN59" s="47"/>
      <c r="AO59" s="47"/>
      <c r="AP59" s="47"/>
      <c r="AQ59" s="48"/>
      <c r="AR59" s="87"/>
      <c r="AS59" s="47"/>
      <c r="AT59" s="47"/>
      <c r="AU59" s="47"/>
      <c r="AV59" s="47"/>
      <c r="AW59" s="79"/>
      <c r="AX59" s="47"/>
      <c r="AY59" s="47"/>
      <c r="AZ59" s="47"/>
      <c r="BA59" s="48"/>
      <c r="BB59" s="80"/>
      <c r="BC59" s="47"/>
      <c r="BD59" s="47"/>
      <c r="BE59" s="47"/>
      <c r="BF59" s="47"/>
      <c r="BG59" s="81"/>
      <c r="BH59" s="47"/>
      <c r="BI59" s="47"/>
      <c r="BJ59" s="47"/>
      <c r="BK59" s="56"/>
    </row>
    <row r="60" ht="21.0" customHeight="1">
      <c r="A60" s="78"/>
      <c r="B60" s="44" t="s">
        <v>200</v>
      </c>
      <c r="C60" s="44" t="s">
        <v>224</v>
      </c>
      <c r="D60" s="45">
        <v>44983.0</v>
      </c>
      <c r="E60" s="45">
        <v>44988.0</v>
      </c>
      <c r="F60" s="44" t="s">
        <v>180</v>
      </c>
      <c r="G60" s="44" t="s">
        <v>187</v>
      </c>
      <c r="H60" s="44" t="s">
        <v>27</v>
      </c>
      <c r="I60" s="60"/>
      <c r="J60" s="47"/>
      <c r="K60" s="47"/>
      <c r="L60" s="47"/>
      <c r="M60" s="48"/>
      <c r="N60" s="61"/>
      <c r="O60" s="47"/>
      <c r="P60" s="47"/>
      <c r="Q60" s="47"/>
      <c r="R60" s="48"/>
      <c r="S60" s="46">
        <v>2136.22</v>
      </c>
      <c r="T60" s="47"/>
      <c r="U60" s="47"/>
      <c r="V60" s="47"/>
      <c r="W60" s="48"/>
      <c r="X60" s="105">
        <v>2397.48</v>
      </c>
      <c r="Y60" s="47"/>
      <c r="Z60" s="47"/>
      <c r="AA60" s="47"/>
      <c r="AB60" s="48"/>
      <c r="AC60" s="50"/>
      <c r="AD60" s="47"/>
      <c r="AE60" s="47"/>
      <c r="AF60" s="47"/>
      <c r="AG60" s="48"/>
      <c r="AH60" s="52"/>
      <c r="AI60" s="47"/>
      <c r="AJ60" s="47"/>
      <c r="AK60" s="47"/>
      <c r="AL60" s="48"/>
      <c r="AM60" s="50"/>
      <c r="AN60" s="47"/>
      <c r="AO60" s="47"/>
      <c r="AP60" s="47"/>
      <c r="AQ60" s="48"/>
      <c r="AR60" s="87"/>
      <c r="AS60" s="47"/>
      <c r="AT60" s="47"/>
      <c r="AU60" s="47"/>
      <c r="AV60" s="47"/>
      <c r="AW60" s="79"/>
      <c r="AX60" s="47"/>
      <c r="AY60" s="47"/>
      <c r="AZ60" s="47"/>
      <c r="BA60" s="48"/>
      <c r="BB60" s="80"/>
      <c r="BC60" s="47"/>
      <c r="BD60" s="47"/>
      <c r="BE60" s="47"/>
      <c r="BF60" s="47"/>
      <c r="BG60" s="81"/>
      <c r="BH60" s="47"/>
      <c r="BI60" s="47"/>
      <c r="BJ60" s="47"/>
      <c r="BK60" s="56"/>
    </row>
    <row r="61" ht="21.0" customHeight="1">
      <c r="A61" s="78"/>
      <c r="B61" s="44" t="s">
        <v>185</v>
      </c>
      <c r="C61" s="44" t="s">
        <v>224</v>
      </c>
      <c r="D61" s="45">
        <v>44983.0</v>
      </c>
      <c r="E61" s="45">
        <v>44988.0</v>
      </c>
      <c r="F61" s="44" t="s">
        <v>180</v>
      </c>
      <c r="G61" s="44" t="s">
        <v>187</v>
      </c>
      <c r="H61" s="44" t="s">
        <v>27</v>
      </c>
      <c r="I61" s="60"/>
      <c r="J61" s="47"/>
      <c r="K61" s="47"/>
      <c r="L61" s="47"/>
      <c r="M61" s="48"/>
      <c r="N61" s="61"/>
      <c r="O61" s="47"/>
      <c r="P61" s="47"/>
      <c r="Q61" s="47"/>
      <c r="R61" s="48"/>
      <c r="S61" s="46">
        <v>1863.97</v>
      </c>
      <c r="T61" s="47"/>
      <c r="U61" s="47"/>
      <c r="V61" s="47"/>
      <c r="W61" s="48"/>
      <c r="X61" s="105">
        <v>2098.87</v>
      </c>
      <c r="Y61" s="47"/>
      <c r="Z61" s="47"/>
      <c r="AA61" s="47"/>
      <c r="AB61" s="48"/>
      <c r="AC61" s="91"/>
      <c r="AD61" s="47"/>
      <c r="AE61" s="47"/>
      <c r="AF61" s="47"/>
      <c r="AG61" s="48"/>
      <c r="AH61" s="51"/>
      <c r="AI61" s="47"/>
      <c r="AJ61" s="47"/>
      <c r="AK61" s="47"/>
      <c r="AL61" s="48"/>
      <c r="AM61" s="50"/>
      <c r="AN61" s="47"/>
      <c r="AO61" s="47"/>
      <c r="AP61" s="47"/>
      <c r="AQ61" s="48"/>
      <c r="AR61" s="51"/>
      <c r="AS61" s="47"/>
      <c r="AT61" s="47"/>
      <c r="AU61" s="47"/>
      <c r="AV61" s="48"/>
      <c r="AW61" s="79"/>
      <c r="AX61" s="47"/>
      <c r="AY61" s="47"/>
      <c r="AZ61" s="47"/>
      <c r="BA61" s="48"/>
      <c r="BB61" s="80"/>
      <c r="BC61" s="47"/>
      <c r="BD61" s="47"/>
      <c r="BE61" s="47"/>
      <c r="BF61" s="47"/>
      <c r="BG61" s="81"/>
      <c r="BH61" s="47"/>
      <c r="BI61" s="47"/>
      <c r="BJ61" s="47"/>
      <c r="BK61" s="56"/>
    </row>
    <row r="62" ht="21.0" customHeight="1">
      <c r="A62" s="78"/>
      <c r="B62" s="44" t="s">
        <v>211</v>
      </c>
      <c r="C62" s="44" t="s">
        <v>224</v>
      </c>
      <c r="D62" s="45">
        <v>44983.0</v>
      </c>
      <c r="E62" s="45">
        <v>44988.0</v>
      </c>
      <c r="F62" s="44" t="s">
        <v>180</v>
      </c>
      <c r="G62" s="44" t="s">
        <v>187</v>
      </c>
      <c r="H62" s="44" t="s">
        <v>27</v>
      </c>
      <c r="I62" s="60"/>
      <c r="J62" s="47"/>
      <c r="K62" s="47"/>
      <c r="L62" s="47"/>
      <c r="M62" s="48"/>
      <c r="N62" s="61"/>
      <c r="O62" s="47"/>
      <c r="P62" s="47"/>
      <c r="Q62" s="47"/>
      <c r="R62" s="48"/>
      <c r="S62" s="46">
        <v>2013.96</v>
      </c>
      <c r="T62" s="47"/>
      <c r="U62" s="47"/>
      <c r="V62" s="47"/>
      <c r="W62" s="48"/>
      <c r="X62" s="105">
        <v>2174.52</v>
      </c>
      <c r="Y62" s="47"/>
      <c r="Z62" s="47"/>
      <c r="AA62" s="47"/>
      <c r="AB62" s="48"/>
      <c r="AC62" s="91"/>
      <c r="AD62" s="47"/>
      <c r="AE62" s="47"/>
      <c r="AF62" s="47"/>
      <c r="AG62" s="48"/>
      <c r="AH62" s="52"/>
      <c r="AI62" s="47"/>
      <c r="AJ62" s="47"/>
      <c r="AK62" s="47"/>
      <c r="AL62" s="48"/>
      <c r="AM62" s="50"/>
      <c r="AN62" s="47"/>
      <c r="AO62" s="47"/>
      <c r="AP62" s="47"/>
      <c r="AQ62" s="48"/>
      <c r="AR62" s="51"/>
      <c r="AS62" s="47"/>
      <c r="AT62" s="47"/>
      <c r="AU62" s="47"/>
      <c r="AV62" s="48"/>
      <c r="AW62" s="79"/>
      <c r="AX62" s="47"/>
      <c r="AY62" s="47"/>
      <c r="AZ62" s="47"/>
      <c r="BA62" s="48"/>
      <c r="BB62" s="80"/>
      <c r="BC62" s="47"/>
      <c r="BD62" s="47"/>
      <c r="BE62" s="47"/>
      <c r="BF62" s="47"/>
      <c r="BG62" s="81"/>
      <c r="BH62" s="47"/>
      <c r="BI62" s="47"/>
      <c r="BJ62" s="47"/>
      <c r="BK62" s="56"/>
    </row>
    <row r="63" ht="21.0" customHeight="1">
      <c r="A63" s="78"/>
      <c r="B63" s="44" t="s">
        <v>226</v>
      </c>
      <c r="C63" s="44" t="s">
        <v>227</v>
      </c>
      <c r="D63" s="45">
        <v>44991.0</v>
      </c>
      <c r="E63" s="45">
        <v>44995.0</v>
      </c>
      <c r="F63" s="44" t="s">
        <v>36</v>
      </c>
      <c r="G63" s="44" t="s">
        <v>59</v>
      </c>
      <c r="H63" s="44" t="s">
        <v>27</v>
      </c>
      <c r="I63" s="50"/>
      <c r="J63" s="47"/>
      <c r="K63" s="47"/>
      <c r="L63" s="47"/>
      <c r="M63" s="48"/>
      <c r="N63" s="51"/>
      <c r="O63" s="47"/>
      <c r="P63" s="47"/>
      <c r="Q63" s="47"/>
      <c r="R63" s="48"/>
      <c r="S63" s="46">
        <v>1434.4</v>
      </c>
      <c r="T63" s="47"/>
      <c r="U63" s="47"/>
      <c r="V63" s="47"/>
      <c r="W63" s="48"/>
      <c r="X63" s="105">
        <v>1336.25</v>
      </c>
      <c r="Y63" s="47"/>
      <c r="Z63" s="47"/>
      <c r="AA63" s="47"/>
      <c r="AB63" s="48"/>
      <c r="AC63" s="91"/>
      <c r="AD63" s="47"/>
      <c r="AE63" s="47"/>
      <c r="AF63" s="47"/>
      <c r="AG63" s="48"/>
      <c r="AH63" s="52"/>
      <c r="AI63" s="47"/>
      <c r="AJ63" s="47"/>
      <c r="AK63" s="47"/>
      <c r="AL63" s="48"/>
      <c r="AM63" s="50"/>
      <c r="AN63" s="47"/>
      <c r="AO63" s="47"/>
      <c r="AP63" s="47"/>
      <c r="AQ63" s="48"/>
      <c r="AR63" s="51"/>
      <c r="AS63" s="47"/>
      <c r="AT63" s="47"/>
      <c r="AU63" s="47"/>
      <c r="AV63" s="48"/>
      <c r="AW63" s="79"/>
      <c r="AX63" s="47"/>
      <c r="AY63" s="47"/>
      <c r="AZ63" s="47"/>
      <c r="BA63" s="48"/>
      <c r="BB63" s="80"/>
      <c r="BC63" s="47"/>
      <c r="BD63" s="47"/>
      <c r="BE63" s="47"/>
      <c r="BF63" s="47"/>
      <c r="BG63" s="81"/>
      <c r="BH63" s="47"/>
      <c r="BI63" s="47"/>
      <c r="BJ63" s="47"/>
      <c r="BK63" s="56"/>
    </row>
    <row r="64" ht="21.0" customHeight="1">
      <c r="A64" s="78"/>
      <c r="B64" s="44" t="s">
        <v>185</v>
      </c>
      <c r="C64" s="44" t="s">
        <v>228</v>
      </c>
      <c r="D64" s="45">
        <v>44993.0</v>
      </c>
      <c r="E64" s="45">
        <v>44994.0</v>
      </c>
      <c r="F64" s="44" t="s">
        <v>229</v>
      </c>
      <c r="G64" s="44" t="s">
        <v>187</v>
      </c>
      <c r="H64" s="44" t="s">
        <v>27</v>
      </c>
      <c r="I64" s="60"/>
      <c r="J64" s="47"/>
      <c r="K64" s="47"/>
      <c r="L64" s="47"/>
      <c r="M64" s="48"/>
      <c r="N64" s="61"/>
      <c r="O64" s="47"/>
      <c r="P64" s="47"/>
      <c r="Q64" s="47"/>
      <c r="R64" s="48"/>
      <c r="S64" s="46">
        <v>625.57</v>
      </c>
      <c r="T64" s="47"/>
      <c r="U64" s="47"/>
      <c r="V64" s="47"/>
      <c r="W64" s="48"/>
      <c r="X64" s="105">
        <v>645.24</v>
      </c>
      <c r="Y64" s="47"/>
      <c r="Z64" s="47"/>
      <c r="AA64" s="47"/>
      <c r="AB64" s="48"/>
      <c r="AC64" s="91"/>
      <c r="AD64" s="47"/>
      <c r="AE64" s="47"/>
      <c r="AF64" s="47"/>
      <c r="AG64" s="48"/>
      <c r="AH64" s="52"/>
      <c r="AI64" s="47"/>
      <c r="AJ64" s="47"/>
      <c r="AK64" s="47"/>
      <c r="AL64" s="48"/>
      <c r="AM64" s="50"/>
      <c r="AN64" s="47"/>
      <c r="AO64" s="47"/>
      <c r="AP64" s="47"/>
      <c r="AQ64" s="48"/>
      <c r="AR64" s="51"/>
      <c r="AS64" s="47"/>
      <c r="AT64" s="47"/>
      <c r="AU64" s="47"/>
      <c r="AV64" s="48"/>
      <c r="AW64" s="79"/>
      <c r="AX64" s="47"/>
      <c r="AY64" s="47"/>
      <c r="AZ64" s="47"/>
      <c r="BA64" s="48"/>
      <c r="BB64" s="80"/>
      <c r="BC64" s="47"/>
      <c r="BD64" s="47"/>
      <c r="BE64" s="47"/>
      <c r="BF64" s="47"/>
      <c r="BG64" s="81"/>
      <c r="BH64" s="47"/>
      <c r="BI64" s="47"/>
      <c r="BJ64" s="47"/>
      <c r="BK64" s="56"/>
    </row>
    <row r="65" ht="21.0" customHeight="1">
      <c r="A65" s="78"/>
      <c r="B65" s="44" t="s">
        <v>232</v>
      </c>
      <c r="C65" s="44" t="s">
        <v>233</v>
      </c>
      <c r="D65" s="45">
        <v>44993.0</v>
      </c>
      <c r="E65" s="45">
        <v>44994.0</v>
      </c>
      <c r="F65" s="44" t="s">
        <v>234</v>
      </c>
      <c r="G65" s="44" t="s">
        <v>59</v>
      </c>
      <c r="H65" s="57" t="s">
        <v>27</v>
      </c>
      <c r="I65" s="50"/>
      <c r="J65" s="47"/>
      <c r="K65" s="47"/>
      <c r="L65" s="47"/>
      <c r="M65" s="48"/>
      <c r="N65" s="51"/>
      <c r="O65" s="47"/>
      <c r="P65" s="47"/>
      <c r="Q65" s="47"/>
      <c r="R65" s="48"/>
      <c r="S65" s="46">
        <v>1204.67</v>
      </c>
      <c r="T65" s="47"/>
      <c r="U65" s="47"/>
      <c r="V65" s="47"/>
      <c r="W65" s="48"/>
      <c r="X65" s="105">
        <v>1132.9</v>
      </c>
      <c r="Y65" s="47"/>
      <c r="Z65" s="47"/>
      <c r="AA65" s="47"/>
      <c r="AB65" s="48"/>
      <c r="AC65" s="91"/>
      <c r="AD65" s="47"/>
      <c r="AE65" s="47"/>
      <c r="AF65" s="47"/>
      <c r="AG65" s="48"/>
      <c r="AH65" s="52"/>
      <c r="AI65" s="47"/>
      <c r="AJ65" s="47"/>
      <c r="AK65" s="47"/>
      <c r="AL65" s="48"/>
      <c r="AM65" s="50"/>
      <c r="AN65" s="47"/>
      <c r="AO65" s="47"/>
      <c r="AP65" s="47"/>
      <c r="AQ65" s="48"/>
      <c r="AR65" s="51"/>
      <c r="AS65" s="47"/>
      <c r="AT65" s="47"/>
      <c r="AU65" s="47"/>
      <c r="AV65" s="48"/>
      <c r="AW65" s="79"/>
      <c r="AX65" s="47"/>
      <c r="AY65" s="47"/>
      <c r="AZ65" s="47"/>
      <c r="BA65" s="48"/>
      <c r="BB65" s="80"/>
      <c r="BC65" s="47"/>
      <c r="BD65" s="47"/>
      <c r="BE65" s="47"/>
      <c r="BF65" s="47"/>
      <c r="BG65" s="81"/>
      <c r="BH65" s="47"/>
      <c r="BI65" s="47"/>
      <c r="BJ65" s="47"/>
      <c r="BK65" s="56"/>
    </row>
    <row r="66" ht="21.0" customHeight="1">
      <c r="A66" s="78"/>
      <c r="B66" s="44" t="s">
        <v>200</v>
      </c>
      <c r="C66" s="44" t="s">
        <v>228</v>
      </c>
      <c r="D66" s="45">
        <v>44993.0</v>
      </c>
      <c r="E66" s="45">
        <v>44994.0</v>
      </c>
      <c r="F66" s="44" t="s">
        <v>229</v>
      </c>
      <c r="G66" s="44" t="s">
        <v>187</v>
      </c>
      <c r="H66" s="44" t="s">
        <v>27</v>
      </c>
      <c r="I66" s="60"/>
      <c r="J66" s="47"/>
      <c r="K66" s="47"/>
      <c r="L66" s="47"/>
      <c r="M66" s="48"/>
      <c r="N66" s="61"/>
      <c r="O66" s="47"/>
      <c r="P66" s="47"/>
      <c r="Q66" s="47"/>
      <c r="R66" s="48"/>
      <c r="S66" s="46">
        <v>783.83</v>
      </c>
      <c r="T66" s="47"/>
      <c r="U66" s="47"/>
      <c r="V66" s="47"/>
      <c r="W66" s="48"/>
      <c r="X66" s="105">
        <v>786.8</v>
      </c>
      <c r="Y66" s="47"/>
      <c r="Z66" s="47"/>
      <c r="AA66" s="47"/>
      <c r="AB66" s="48"/>
      <c r="AC66" s="91"/>
      <c r="AD66" s="47"/>
      <c r="AE66" s="47"/>
      <c r="AF66" s="47"/>
      <c r="AG66" s="48"/>
      <c r="AH66" s="51"/>
      <c r="AI66" s="47"/>
      <c r="AJ66" s="47"/>
      <c r="AK66" s="47"/>
      <c r="AL66" s="48"/>
      <c r="AM66" s="50"/>
      <c r="AN66" s="47"/>
      <c r="AO66" s="47"/>
      <c r="AP66" s="47"/>
      <c r="AQ66" s="48"/>
      <c r="AR66" s="51"/>
      <c r="AS66" s="47"/>
      <c r="AT66" s="47"/>
      <c r="AU66" s="47"/>
      <c r="AV66" s="48"/>
      <c r="AW66" s="79"/>
      <c r="AX66" s="47"/>
      <c r="AY66" s="47"/>
      <c r="AZ66" s="47"/>
      <c r="BA66" s="48"/>
      <c r="BB66" s="80"/>
      <c r="BC66" s="47"/>
      <c r="BD66" s="47"/>
      <c r="BE66" s="47"/>
      <c r="BF66" s="47"/>
      <c r="BG66" s="81"/>
      <c r="BH66" s="47"/>
      <c r="BI66" s="47"/>
      <c r="BJ66" s="47"/>
      <c r="BK66" s="56"/>
    </row>
    <row r="67" ht="21.0" customHeight="1">
      <c r="A67" s="78"/>
      <c r="B67" s="44" t="s">
        <v>237</v>
      </c>
      <c r="C67" s="44" t="s">
        <v>233</v>
      </c>
      <c r="D67" s="45">
        <v>44993.0</v>
      </c>
      <c r="E67" s="45">
        <v>44994.0</v>
      </c>
      <c r="F67" s="44" t="s">
        <v>234</v>
      </c>
      <c r="G67" s="44" t="s">
        <v>59</v>
      </c>
      <c r="H67" s="57" t="s">
        <v>27</v>
      </c>
      <c r="I67" s="50"/>
      <c r="J67" s="47"/>
      <c r="K67" s="47"/>
      <c r="L67" s="47"/>
      <c r="M67" s="48"/>
      <c r="N67" s="51"/>
      <c r="O67" s="47"/>
      <c r="P67" s="47"/>
      <c r="Q67" s="47"/>
      <c r="R67" s="48"/>
      <c r="S67" s="46">
        <v>1019.75</v>
      </c>
      <c r="T67" s="47"/>
      <c r="U67" s="47"/>
      <c r="V67" s="47"/>
      <c r="W67" s="48"/>
      <c r="X67" s="105">
        <v>931.12</v>
      </c>
      <c r="Y67" s="47"/>
      <c r="Z67" s="47"/>
      <c r="AA67" s="47"/>
      <c r="AB67" s="48"/>
      <c r="AC67" s="91"/>
      <c r="AD67" s="47"/>
      <c r="AE67" s="47"/>
      <c r="AF67" s="47"/>
      <c r="AG67" s="48"/>
      <c r="AH67" s="52"/>
      <c r="AI67" s="47"/>
      <c r="AJ67" s="47"/>
      <c r="AK67" s="47"/>
      <c r="AL67" s="48"/>
      <c r="AM67" s="50"/>
      <c r="AN67" s="47"/>
      <c r="AO67" s="47"/>
      <c r="AP67" s="47"/>
      <c r="AQ67" s="48"/>
      <c r="AR67" s="51"/>
      <c r="AS67" s="47"/>
      <c r="AT67" s="47"/>
      <c r="AU67" s="47"/>
      <c r="AV67" s="48"/>
      <c r="AW67" s="79"/>
      <c r="AX67" s="47"/>
      <c r="AY67" s="47"/>
      <c r="AZ67" s="47"/>
      <c r="BA67" s="48"/>
      <c r="BB67" s="80"/>
      <c r="BC67" s="47"/>
      <c r="BD67" s="47"/>
      <c r="BE67" s="47"/>
      <c r="BF67" s="47"/>
      <c r="BG67" s="81"/>
      <c r="BH67" s="47"/>
      <c r="BI67" s="47"/>
      <c r="BJ67" s="47"/>
      <c r="BK67" s="56"/>
    </row>
    <row r="68" ht="21.0" customHeight="1">
      <c r="A68" s="78"/>
      <c r="B68" s="44" t="s">
        <v>128</v>
      </c>
      <c r="C68" s="44" t="s">
        <v>233</v>
      </c>
      <c r="D68" s="45">
        <v>44993.0</v>
      </c>
      <c r="E68" s="45">
        <v>44994.0</v>
      </c>
      <c r="F68" s="44" t="s">
        <v>234</v>
      </c>
      <c r="G68" s="44" t="s">
        <v>59</v>
      </c>
      <c r="H68" s="57" t="s">
        <v>27</v>
      </c>
      <c r="I68" s="50"/>
      <c r="J68" s="47"/>
      <c r="K68" s="47"/>
      <c r="L68" s="47"/>
      <c r="M68" s="48"/>
      <c r="N68" s="51"/>
      <c r="O68" s="47"/>
      <c r="P68" s="47"/>
      <c r="Q68" s="47"/>
      <c r="R68" s="48"/>
      <c r="S68" s="46">
        <v>802.11</v>
      </c>
      <c r="T68" s="47"/>
      <c r="U68" s="47"/>
      <c r="V68" s="47"/>
      <c r="W68" s="48"/>
      <c r="X68" s="105">
        <v>768.56</v>
      </c>
      <c r="Y68" s="47"/>
      <c r="Z68" s="47"/>
      <c r="AA68" s="47"/>
      <c r="AB68" s="48"/>
      <c r="AC68" s="91"/>
      <c r="AD68" s="47"/>
      <c r="AE68" s="47"/>
      <c r="AF68" s="47"/>
      <c r="AG68" s="48"/>
      <c r="AH68" s="52"/>
      <c r="AI68" s="47"/>
      <c r="AJ68" s="47"/>
      <c r="AK68" s="47"/>
      <c r="AL68" s="48"/>
      <c r="AM68" s="50"/>
      <c r="AN68" s="47"/>
      <c r="AO68" s="47"/>
      <c r="AP68" s="47"/>
      <c r="AQ68" s="48"/>
      <c r="AR68" s="51"/>
      <c r="AS68" s="47"/>
      <c r="AT68" s="47"/>
      <c r="AU68" s="47"/>
      <c r="AV68" s="48"/>
      <c r="AW68" s="79"/>
      <c r="AX68" s="47"/>
      <c r="AY68" s="47"/>
      <c r="AZ68" s="47"/>
      <c r="BA68" s="48"/>
      <c r="BB68" s="80"/>
      <c r="BC68" s="47"/>
      <c r="BD68" s="47"/>
      <c r="BE68" s="47"/>
      <c r="BF68" s="47"/>
      <c r="BG68" s="81"/>
      <c r="BH68" s="47"/>
      <c r="BI68" s="47"/>
      <c r="BJ68" s="47"/>
      <c r="BK68" s="56"/>
    </row>
    <row r="69" ht="21.0" customHeight="1">
      <c r="A69" s="78"/>
      <c r="B69" s="44" t="s">
        <v>42</v>
      </c>
      <c r="C69" s="44" t="s">
        <v>242</v>
      </c>
      <c r="D69" s="45">
        <v>44980.0</v>
      </c>
      <c r="E69" s="45">
        <v>44980.0</v>
      </c>
      <c r="F69" s="44" t="s">
        <v>30</v>
      </c>
      <c r="G69" s="44" t="s">
        <v>59</v>
      </c>
      <c r="H69" s="44" t="s">
        <v>60</v>
      </c>
      <c r="I69" s="60"/>
      <c r="J69" s="47"/>
      <c r="K69" s="47"/>
      <c r="L69" s="47"/>
      <c r="M69" s="48"/>
      <c r="N69" s="61"/>
      <c r="O69" s="47"/>
      <c r="P69" s="47"/>
      <c r="Q69" s="47"/>
      <c r="R69" s="48"/>
      <c r="S69" s="46" t="s">
        <v>56</v>
      </c>
      <c r="T69" s="47"/>
      <c r="U69" s="47"/>
      <c r="V69" s="47"/>
      <c r="W69" s="48"/>
      <c r="X69" s="82">
        <v>38.84</v>
      </c>
      <c r="Y69" s="47"/>
      <c r="Z69" s="47"/>
      <c r="AA69" s="47"/>
      <c r="AB69" s="48"/>
      <c r="AC69" s="91"/>
      <c r="AD69" s="47"/>
      <c r="AE69" s="47"/>
      <c r="AF69" s="47"/>
      <c r="AG69" s="48"/>
      <c r="AH69" s="52"/>
      <c r="AI69" s="47"/>
      <c r="AJ69" s="47"/>
      <c r="AK69" s="47"/>
      <c r="AL69" s="48"/>
      <c r="AM69" s="50"/>
      <c r="AN69" s="47"/>
      <c r="AO69" s="47"/>
      <c r="AP69" s="47"/>
      <c r="AQ69" s="48"/>
      <c r="AR69" s="51"/>
      <c r="AS69" s="47"/>
      <c r="AT69" s="47"/>
      <c r="AU69" s="47"/>
      <c r="AV69" s="48"/>
      <c r="AW69" s="79"/>
      <c r="AX69" s="47"/>
      <c r="AY69" s="47"/>
      <c r="AZ69" s="47"/>
      <c r="BA69" s="48"/>
      <c r="BB69" s="80"/>
      <c r="BC69" s="47"/>
      <c r="BD69" s="47"/>
      <c r="BE69" s="47"/>
      <c r="BF69" s="47"/>
      <c r="BG69" s="81"/>
      <c r="BH69" s="47"/>
      <c r="BI69" s="47"/>
      <c r="BJ69" s="47"/>
      <c r="BK69" s="56"/>
    </row>
    <row r="70" ht="21.0" customHeight="1">
      <c r="A70" s="78"/>
      <c r="B70" s="44" t="s">
        <v>42</v>
      </c>
      <c r="C70" s="44" t="s">
        <v>244</v>
      </c>
      <c r="D70" s="45">
        <v>44970.0</v>
      </c>
      <c r="E70" s="45">
        <v>44970.0</v>
      </c>
      <c r="F70" s="44" t="s">
        <v>30</v>
      </c>
      <c r="G70" s="44" t="s">
        <v>59</v>
      </c>
      <c r="H70" s="44" t="s">
        <v>60</v>
      </c>
      <c r="I70" s="60"/>
      <c r="J70" s="47"/>
      <c r="K70" s="47"/>
      <c r="L70" s="47"/>
      <c r="M70" s="48"/>
      <c r="N70" s="61"/>
      <c r="O70" s="47"/>
      <c r="P70" s="47"/>
      <c r="Q70" s="47"/>
      <c r="R70" s="48"/>
      <c r="S70" s="46" t="s">
        <v>56</v>
      </c>
      <c r="T70" s="47"/>
      <c r="U70" s="47"/>
      <c r="V70" s="47"/>
      <c r="W70" s="48"/>
      <c r="X70" s="82">
        <v>38.84</v>
      </c>
      <c r="Y70" s="47"/>
      <c r="Z70" s="47"/>
      <c r="AA70" s="47"/>
      <c r="AB70" s="48"/>
      <c r="AC70" s="91"/>
      <c r="AD70" s="47"/>
      <c r="AE70" s="47"/>
      <c r="AF70" s="47"/>
      <c r="AG70" s="48"/>
      <c r="AH70" s="52"/>
      <c r="AI70" s="47"/>
      <c r="AJ70" s="47"/>
      <c r="AK70" s="47"/>
      <c r="AL70" s="48"/>
      <c r="AM70" s="50"/>
      <c r="AN70" s="47"/>
      <c r="AO70" s="47"/>
      <c r="AP70" s="47"/>
      <c r="AQ70" s="48"/>
      <c r="AR70" s="51"/>
      <c r="AS70" s="47"/>
      <c r="AT70" s="47"/>
      <c r="AU70" s="47"/>
      <c r="AV70" s="48"/>
      <c r="AW70" s="79"/>
      <c r="AX70" s="47"/>
      <c r="AY70" s="47"/>
      <c r="AZ70" s="47"/>
      <c r="BA70" s="48"/>
      <c r="BB70" s="80"/>
      <c r="BC70" s="47"/>
      <c r="BD70" s="47"/>
      <c r="BE70" s="47"/>
      <c r="BF70" s="47"/>
      <c r="BG70" s="81"/>
      <c r="BH70" s="47"/>
      <c r="BI70" s="47"/>
      <c r="BJ70" s="47"/>
      <c r="BK70" s="56"/>
    </row>
    <row r="71" ht="21.0" customHeight="1">
      <c r="A71" s="78"/>
      <c r="B71" s="44" t="s">
        <v>225</v>
      </c>
      <c r="C71" s="44" t="s">
        <v>196</v>
      </c>
      <c r="D71" s="45">
        <v>44970.0</v>
      </c>
      <c r="E71" s="45">
        <v>44970.0</v>
      </c>
      <c r="F71" s="44" t="s">
        <v>30</v>
      </c>
      <c r="G71" s="44" t="s">
        <v>59</v>
      </c>
      <c r="H71" s="44" t="s">
        <v>60</v>
      </c>
      <c r="I71" s="50"/>
      <c r="J71" s="47"/>
      <c r="K71" s="47"/>
      <c r="L71" s="47"/>
      <c r="M71" s="48"/>
      <c r="N71" s="61"/>
      <c r="O71" s="47"/>
      <c r="P71" s="47"/>
      <c r="Q71" s="47"/>
      <c r="R71" s="48"/>
      <c r="S71" s="46" t="s">
        <v>56</v>
      </c>
      <c r="T71" s="47"/>
      <c r="U71" s="47"/>
      <c r="V71" s="47"/>
      <c r="W71" s="48"/>
      <c r="X71" s="82">
        <v>53.48</v>
      </c>
      <c r="Y71" s="47"/>
      <c r="Z71" s="47"/>
      <c r="AA71" s="47"/>
      <c r="AB71" s="48"/>
      <c r="AC71" s="91"/>
      <c r="AD71" s="47"/>
      <c r="AE71" s="47"/>
      <c r="AF71" s="47"/>
      <c r="AG71" s="48"/>
      <c r="AH71" s="52"/>
      <c r="AI71" s="47"/>
      <c r="AJ71" s="47"/>
      <c r="AK71" s="47"/>
      <c r="AL71" s="48"/>
      <c r="AM71" s="50"/>
      <c r="AN71" s="47"/>
      <c r="AO71" s="47"/>
      <c r="AP71" s="47"/>
      <c r="AQ71" s="48"/>
      <c r="AR71" s="51"/>
      <c r="AS71" s="47"/>
      <c r="AT71" s="47"/>
      <c r="AU71" s="47"/>
      <c r="AV71" s="48"/>
      <c r="AW71" s="79"/>
      <c r="AX71" s="47"/>
      <c r="AY71" s="47"/>
      <c r="AZ71" s="47"/>
      <c r="BA71" s="48"/>
      <c r="BB71" s="80"/>
      <c r="BC71" s="47"/>
      <c r="BD71" s="47"/>
      <c r="BE71" s="47"/>
      <c r="BF71" s="47"/>
      <c r="BG71" s="81"/>
      <c r="BH71" s="47"/>
      <c r="BI71" s="47"/>
      <c r="BJ71" s="47"/>
      <c r="BK71" s="56"/>
    </row>
    <row r="72" ht="21.0" customHeight="1">
      <c r="A72" s="78"/>
      <c r="B72" s="44" t="s">
        <v>248</v>
      </c>
      <c r="C72" s="44" t="s">
        <v>249</v>
      </c>
      <c r="D72" s="45">
        <v>44970.0</v>
      </c>
      <c r="E72" s="45">
        <v>44970.0</v>
      </c>
      <c r="F72" s="44" t="s">
        <v>30</v>
      </c>
      <c r="G72" s="44" t="s">
        <v>59</v>
      </c>
      <c r="H72" s="57" t="s">
        <v>60</v>
      </c>
      <c r="I72" s="50"/>
      <c r="J72" s="47"/>
      <c r="K72" s="47"/>
      <c r="L72" s="47"/>
      <c r="M72" s="48"/>
      <c r="N72" s="61"/>
      <c r="O72" s="47"/>
      <c r="P72" s="47"/>
      <c r="Q72" s="47"/>
      <c r="R72" s="48"/>
      <c r="S72" s="46" t="s">
        <v>56</v>
      </c>
      <c r="T72" s="47"/>
      <c r="U72" s="47"/>
      <c r="V72" s="47"/>
      <c r="W72" s="48"/>
      <c r="X72" s="82">
        <v>84.1</v>
      </c>
      <c r="Y72" s="47"/>
      <c r="Z72" s="47"/>
      <c r="AA72" s="47"/>
      <c r="AB72" s="48"/>
      <c r="AC72" s="91"/>
      <c r="AD72" s="47"/>
      <c r="AE72" s="47"/>
      <c r="AF72" s="47"/>
      <c r="AG72" s="48"/>
      <c r="AH72" s="52"/>
      <c r="AI72" s="47"/>
      <c r="AJ72" s="47"/>
      <c r="AK72" s="47"/>
      <c r="AL72" s="48"/>
      <c r="AM72" s="50"/>
      <c r="AN72" s="47"/>
      <c r="AO72" s="47"/>
      <c r="AP72" s="47"/>
      <c r="AQ72" s="48"/>
      <c r="AR72" s="51"/>
      <c r="AS72" s="47"/>
      <c r="AT72" s="47"/>
      <c r="AU72" s="47"/>
      <c r="AV72" s="48"/>
      <c r="AW72" s="79"/>
      <c r="AX72" s="47"/>
      <c r="AY72" s="47"/>
      <c r="AZ72" s="47"/>
      <c r="BA72" s="48"/>
      <c r="BB72" s="80"/>
      <c r="BC72" s="47"/>
      <c r="BD72" s="47"/>
      <c r="BE72" s="47"/>
      <c r="BF72" s="47"/>
      <c r="BG72" s="81"/>
      <c r="BH72" s="47"/>
      <c r="BI72" s="47"/>
      <c r="BJ72" s="47"/>
      <c r="BK72" s="56"/>
    </row>
    <row r="73" ht="21.0" customHeight="1">
      <c r="A73" s="78"/>
      <c r="B73" s="44" t="s">
        <v>200</v>
      </c>
      <c r="C73" s="44" t="s">
        <v>250</v>
      </c>
      <c r="D73" s="45">
        <v>45005.0</v>
      </c>
      <c r="E73" s="45">
        <v>45009.0</v>
      </c>
      <c r="F73" s="44" t="s">
        <v>158</v>
      </c>
      <c r="G73" s="44" t="s">
        <v>251</v>
      </c>
      <c r="H73" s="44" t="s">
        <v>27</v>
      </c>
      <c r="I73" s="60"/>
      <c r="J73" s="47"/>
      <c r="K73" s="47"/>
      <c r="L73" s="47"/>
      <c r="M73" s="48"/>
      <c r="N73" s="61"/>
      <c r="O73" s="47"/>
      <c r="P73" s="47"/>
      <c r="Q73" s="47"/>
      <c r="R73" s="48"/>
      <c r="S73" s="46">
        <v>1128.1</v>
      </c>
      <c r="T73" s="47"/>
      <c r="U73" s="47"/>
      <c r="V73" s="47"/>
      <c r="W73" s="48"/>
      <c r="X73" s="105" t="s">
        <v>56</v>
      </c>
      <c r="Y73" s="47"/>
      <c r="Z73" s="47"/>
      <c r="AA73" s="47"/>
      <c r="AB73" s="48"/>
      <c r="AC73" s="50"/>
      <c r="AD73" s="47"/>
      <c r="AE73" s="47"/>
      <c r="AF73" s="47"/>
      <c r="AG73" s="48"/>
      <c r="AH73" s="52"/>
      <c r="AI73" s="47"/>
      <c r="AJ73" s="47"/>
      <c r="AK73" s="47"/>
      <c r="AL73" s="48"/>
      <c r="AM73" s="50"/>
      <c r="AN73" s="47"/>
      <c r="AO73" s="47"/>
      <c r="AP73" s="47"/>
      <c r="AQ73" s="48"/>
      <c r="AR73" s="87"/>
      <c r="AS73" s="47"/>
      <c r="AT73" s="47"/>
      <c r="AU73" s="47"/>
      <c r="AV73" s="47"/>
      <c r="AW73" s="79"/>
      <c r="AX73" s="47"/>
      <c r="AY73" s="47"/>
      <c r="AZ73" s="47"/>
      <c r="BA73" s="48"/>
      <c r="BB73" s="80"/>
      <c r="BC73" s="47"/>
      <c r="BD73" s="47"/>
      <c r="BE73" s="47"/>
      <c r="BF73" s="47"/>
      <c r="BG73" s="81"/>
      <c r="BH73" s="47"/>
      <c r="BI73" s="47"/>
      <c r="BJ73" s="47"/>
      <c r="BK73" s="56"/>
    </row>
    <row r="74" ht="21.0" customHeight="1">
      <c r="A74" s="78"/>
      <c r="B74" s="44" t="s">
        <v>110</v>
      </c>
      <c r="C74" s="44" t="s">
        <v>249</v>
      </c>
      <c r="D74" s="45">
        <v>44992.0</v>
      </c>
      <c r="E74" s="45">
        <v>44995.0</v>
      </c>
      <c r="F74" s="44" t="s">
        <v>137</v>
      </c>
      <c r="G74" s="44" t="s">
        <v>59</v>
      </c>
      <c r="H74" s="57" t="s">
        <v>27</v>
      </c>
      <c r="I74" s="50"/>
      <c r="J74" s="47"/>
      <c r="K74" s="47"/>
      <c r="L74" s="47"/>
      <c r="M74" s="48"/>
      <c r="N74" s="61"/>
      <c r="O74" s="47"/>
      <c r="P74" s="47"/>
      <c r="Q74" s="47"/>
      <c r="R74" s="48"/>
      <c r="S74" s="46">
        <v>978.78</v>
      </c>
      <c r="T74" s="47"/>
      <c r="U74" s="47"/>
      <c r="V74" s="47"/>
      <c r="W74" s="48"/>
      <c r="X74" s="82">
        <v>1035.25</v>
      </c>
      <c r="Y74" s="47"/>
      <c r="Z74" s="47"/>
      <c r="AA74" s="47"/>
      <c r="AB74" s="48"/>
      <c r="AC74" s="50"/>
      <c r="AD74" s="47"/>
      <c r="AE74" s="47"/>
      <c r="AF74" s="47"/>
      <c r="AG74" s="48"/>
      <c r="AH74" s="52"/>
      <c r="AI74" s="47"/>
      <c r="AJ74" s="47"/>
      <c r="AK74" s="47"/>
      <c r="AL74" s="48"/>
      <c r="AM74" s="50"/>
      <c r="AN74" s="47"/>
      <c r="AO74" s="47"/>
      <c r="AP74" s="47"/>
      <c r="AQ74" s="48"/>
      <c r="AR74" s="87"/>
      <c r="AS74" s="47"/>
      <c r="AT74" s="47"/>
      <c r="AU74" s="47"/>
      <c r="AV74" s="47"/>
      <c r="AW74" s="79"/>
      <c r="AX74" s="47"/>
      <c r="AY74" s="47"/>
      <c r="AZ74" s="47"/>
      <c r="BA74" s="48"/>
      <c r="BB74" s="80"/>
      <c r="BC74" s="47"/>
      <c r="BD74" s="47"/>
      <c r="BE74" s="47"/>
      <c r="BF74" s="47"/>
      <c r="BG74" s="81"/>
      <c r="BH74" s="47"/>
      <c r="BI74" s="47"/>
      <c r="BJ74" s="47"/>
      <c r="BK74" s="56"/>
    </row>
    <row r="75" ht="21.0" customHeight="1">
      <c r="A75" s="78"/>
      <c r="B75" s="44" t="s">
        <v>255</v>
      </c>
      <c r="C75" s="44" t="s">
        <v>256</v>
      </c>
      <c r="D75" s="45">
        <v>44992.0</v>
      </c>
      <c r="E75" s="45">
        <v>44995.0</v>
      </c>
      <c r="F75" s="44" t="s">
        <v>137</v>
      </c>
      <c r="G75" s="44" t="s">
        <v>59</v>
      </c>
      <c r="H75" s="44" t="s">
        <v>27</v>
      </c>
      <c r="I75" s="60"/>
      <c r="J75" s="47"/>
      <c r="K75" s="47"/>
      <c r="L75" s="47"/>
      <c r="M75" s="48"/>
      <c r="N75" s="61"/>
      <c r="O75" s="47"/>
      <c r="P75" s="47"/>
      <c r="Q75" s="47"/>
      <c r="R75" s="48"/>
      <c r="S75" s="46">
        <v>1003.46</v>
      </c>
      <c r="T75" s="47"/>
      <c r="U75" s="47"/>
      <c r="V75" s="47"/>
      <c r="W75" s="48"/>
      <c r="X75" s="82">
        <v>1072.9</v>
      </c>
      <c r="Y75" s="47"/>
      <c r="Z75" s="47"/>
      <c r="AA75" s="47"/>
      <c r="AB75" s="48"/>
      <c r="AC75" s="50"/>
      <c r="AD75" s="47"/>
      <c r="AE75" s="47"/>
      <c r="AF75" s="47"/>
      <c r="AG75" s="48"/>
      <c r="AH75" s="52"/>
      <c r="AI75" s="47"/>
      <c r="AJ75" s="47"/>
      <c r="AK75" s="47"/>
      <c r="AL75" s="48"/>
      <c r="AM75" s="50"/>
      <c r="AN75" s="47"/>
      <c r="AO75" s="47"/>
      <c r="AP75" s="47"/>
      <c r="AQ75" s="48"/>
      <c r="AR75" s="87"/>
      <c r="AS75" s="47"/>
      <c r="AT75" s="47"/>
      <c r="AU75" s="47"/>
      <c r="AV75" s="47"/>
      <c r="AW75" s="79"/>
      <c r="AX75" s="47"/>
      <c r="AY75" s="47"/>
      <c r="AZ75" s="47"/>
      <c r="BA75" s="48"/>
      <c r="BB75" s="80"/>
      <c r="BC75" s="47"/>
      <c r="BD75" s="47"/>
      <c r="BE75" s="47"/>
      <c r="BF75" s="47"/>
      <c r="BG75" s="81"/>
      <c r="BH75" s="47"/>
      <c r="BI75" s="47"/>
      <c r="BJ75" s="47"/>
      <c r="BK75" s="56"/>
    </row>
    <row r="76" ht="21.0" customHeight="1">
      <c r="A76" s="78"/>
      <c r="B76" s="44" t="s">
        <v>255</v>
      </c>
      <c r="C76" s="44" t="s">
        <v>256</v>
      </c>
      <c r="D76" s="45">
        <v>44992.0</v>
      </c>
      <c r="E76" s="45">
        <v>44995.0</v>
      </c>
      <c r="F76" s="44" t="s">
        <v>137</v>
      </c>
      <c r="G76" s="44" t="s">
        <v>59</v>
      </c>
      <c r="H76" s="44" t="s">
        <v>27</v>
      </c>
      <c r="I76" s="60"/>
      <c r="J76" s="47"/>
      <c r="K76" s="47"/>
      <c r="L76" s="47"/>
      <c r="M76" s="48"/>
      <c r="N76" s="61"/>
      <c r="O76" s="47"/>
      <c r="P76" s="47"/>
      <c r="Q76" s="47"/>
      <c r="R76" s="48"/>
      <c r="S76" s="46">
        <v>1003.46</v>
      </c>
      <c r="T76" s="47"/>
      <c r="U76" s="47"/>
      <c r="V76" s="47"/>
      <c r="W76" s="48"/>
      <c r="X76" s="82">
        <v>1072.9</v>
      </c>
      <c r="Y76" s="47"/>
      <c r="Z76" s="47"/>
      <c r="AA76" s="47"/>
      <c r="AB76" s="48"/>
      <c r="AC76" s="50"/>
      <c r="AD76" s="47"/>
      <c r="AE76" s="47"/>
      <c r="AF76" s="47"/>
      <c r="AG76" s="48"/>
      <c r="AH76" s="52"/>
      <c r="AI76" s="47"/>
      <c r="AJ76" s="47"/>
      <c r="AK76" s="47"/>
      <c r="AL76" s="48"/>
      <c r="AM76" s="50"/>
      <c r="AN76" s="47"/>
      <c r="AO76" s="47"/>
      <c r="AP76" s="47"/>
      <c r="AQ76" s="48"/>
      <c r="AR76" s="87"/>
      <c r="AS76" s="47"/>
      <c r="AT76" s="47"/>
      <c r="AU76" s="47"/>
      <c r="AV76" s="47"/>
      <c r="AW76" s="79"/>
      <c r="AX76" s="47"/>
      <c r="AY76" s="47"/>
      <c r="AZ76" s="47"/>
      <c r="BA76" s="48"/>
      <c r="BB76" s="80"/>
      <c r="BC76" s="47"/>
      <c r="BD76" s="47"/>
      <c r="BE76" s="47"/>
      <c r="BF76" s="47"/>
      <c r="BG76" s="81"/>
      <c r="BH76" s="47"/>
      <c r="BI76" s="47"/>
      <c r="BJ76" s="47"/>
      <c r="BK76" s="56"/>
    </row>
    <row r="77" ht="21.0" customHeight="1">
      <c r="A77" s="78"/>
      <c r="B77" s="44" t="s">
        <v>220</v>
      </c>
      <c r="C77" s="44" t="s">
        <v>256</v>
      </c>
      <c r="D77" s="45">
        <v>44992.0</v>
      </c>
      <c r="E77" s="45">
        <v>44995.0</v>
      </c>
      <c r="F77" s="44" t="s">
        <v>137</v>
      </c>
      <c r="G77" s="44" t="s">
        <v>59</v>
      </c>
      <c r="H77" s="44" t="s">
        <v>27</v>
      </c>
      <c r="I77" s="60"/>
      <c r="J77" s="47"/>
      <c r="K77" s="47"/>
      <c r="L77" s="47"/>
      <c r="M77" s="48"/>
      <c r="N77" s="61"/>
      <c r="O77" s="47"/>
      <c r="P77" s="47"/>
      <c r="Q77" s="47"/>
      <c r="R77" s="48"/>
      <c r="S77" s="46">
        <v>1652.46</v>
      </c>
      <c r="T77" s="47"/>
      <c r="U77" s="47"/>
      <c r="V77" s="47"/>
      <c r="W77" s="48"/>
      <c r="X77" s="82">
        <v>1466.71</v>
      </c>
      <c r="Y77" s="47"/>
      <c r="Z77" s="47"/>
      <c r="AA77" s="47"/>
      <c r="AB77" s="48"/>
      <c r="AC77" s="50"/>
      <c r="AD77" s="47"/>
      <c r="AE77" s="47"/>
      <c r="AF77" s="47"/>
      <c r="AG77" s="48"/>
      <c r="AH77" s="52"/>
      <c r="AI77" s="47"/>
      <c r="AJ77" s="47"/>
      <c r="AK77" s="47"/>
      <c r="AL77" s="48"/>
      <c r="AM77" s="50"/>
      <c r="AN77" s="47"/>
      <c r="AO77" s="47"/>
      <c r="AP77" s="47"/>
      <c r="AQ77" s="48"/>
      <c r="AR77" s="87"/>
      <c r="AS77" s="47"/>
      <c r="AT77" s="47"/>
      <c r="AU77" s="47"/>
      <c r="AV77" s="47"/>
      <c r="AW77" s="79"/>
      <c r="AX77" s="47"/>
      <c r="AY77" s="47"/>
      <c r="AZ77" s="47"/>
      <c r="BA77" s="48"/>
      <c r="BB77" s="80"/>
      <c r="BC77" s="47"/>
      <c r="BD77" s="47"/>
      <c r="BE77" s="47"/>
      <c r="BF77" s="47"/>
      <c r="BG77" s="81"/>
      <c r="BH77" s="47"/>
      <c r="BI77" s="47"/>
      <c r="BJ77" s="47"/>
      <c r="BK77" s="56"/>
    </row>
    <row r="78" ht="21.0" customHeight="1">
      <c r="A78" s="78"/>
      <c r="B78" s="44" t="s">
        <v>99</v>
      </c>
      <c r="C78" s="44" t="s">
        <v>256</v>
      </c>
      <c r="D78" s="45">
        <v>44992.0</v>
      </c>
      <c r="E78" s="45">
        <v>44995.0</v>
      </c>
      <c r="F78" s="44" t="s">
        <v>137</v>
      </c>
      <c r="G78" s="44" t="s">
        <v>59</v>
      </c>
      <c r="H78" s="44" t="s">
        <v>27</v>
      </c>
      <c r="I78" s="60"/>
      <c r="J78" s="47"/>
      <c r="K78" s="47"/>
      <c r="L78" s="47"/>
      <c r="M78" s="48"/>
      <c r="N78" s="61"/>
      <c r="O78" s="47"/>
      <c r="P78" s="47"/>
      <c r="Q78" s="47"/>
      <c r="R78" s="48"/>
      <c r="S78" s="46">
        <v>1274.91</v>
      </c>
      <c r="T78" s="47"/>
      <c r="U78" s="47"/>
      <c r="V78" s="47"/>
      <c r="W78" s="48"/>
      <c r="X78" s="82">
        <v>1158.19</v>
      </c>
      <c r="Y78" s="47"/>
      <c r="Z78" s="47"/>
      <c r="AA78" s="47"/>
      <c r="AB78" s="48"/>
      <c r="AC78" s="50"/>
      <c r="AD78" s="47"/>
      <c r="AE78" s="47"/>
      <c r="AF78" s="47"/>
      <c r="AG78" s="48"/>
      <c r="AH78" s="51"/>
      <c r="AI78" s="47"/>
      <c r="AJ78" s="47"/>
      <c r="AK78" s="47"/>
      <c r="AL78" s="48"/>
      <c r="AM78" s="50"/>
      <c r="AN78" s="47"/>
      <c r="AO78" s="47"/>
      <c r="AP78" s="47"/>
      <c r="AQ78" s="48"/>
      <c r="AR78" s="87"/>
      <c r="AS78" s="47"/>
      <c r="AT78" s="47"/>
      <c r="AU78" s="47"/>
      <c r="AV78" s="47"/>
      <c r="AW78" s="79"/>
      <c r="AX78" s="47"/>
      <c r="AY78" s="47"/>
      <c r="AZ78" s="47"/>
      <c r="BA78" s="48"/>
      <c r="BB78" s="80"/>
      <c r="BC78" s="47"/>
      <c r="BD78" s="47"/>
      <c r="BE78" s="47"/>
      <c r="BF78" s="47"/>
      <c r="BG78" s="81"/>
      <c r="BH78" s="47"/>
      <c r="BI78" s="47"/>
      <c r="BJ78" s="47"/>
      <c r="BK78" s="56"/>
    </row>
    <row r="79" ht="21.0" customHeight="1">
      <c r="A79" s="78"/>
      <c r="B79" s="44" t="s">
        <v>263</v>
      </c>
      <c r="C79" s="44" t="s">
        <v>249</v>
      </c>
      <c r="D79" s="45">
        <v>44992.0</v>
      </c>
      <c r="E79" s="45">
        <v>44995.0</v>
      </c>
      <c r="F79" s="44" t="s">
        <v>137</v>
      </c>
      <c r="G79" s="44" t="s">
        <v>59</v>
      </c>
      <c r="H79" s="44" t="s">
        <v>27</v>
      </c>
      <c r="I79" s="50"/>
      <c r="J79" s="47"/>
      <c r="K79" s="47"/>
      <c r="L79" s="47"/>
      <c r="M79" s="48"/>
      <c r="N79" s="51"/>
      <c r="O79" s="47"/>
      <c r="P79" s="47"/>
      <c r="Q79" s="47"/>
      <c r="R79" s="48"/>
      <c r="S79" s="46">
        <v>1296.61</v>
      </c>
      <c r="T79" s="47"/>
      <c r="U79" s="47"/>
      <c r="V79" s="47"/>
      <c r="W79" s="48"/>
      <c r="X79" s="133">
        <v>1297.53</v>
      </c>
      <c r="Y79" s="47"/>
      <c r="Z79" s="47"/>
      <c r="AA79" s="47"/>
      <c r="AB79" s="48"/>
      <c r="AC79" s="50"/>
      <c r="AD79" s="47"/>
      <c r="AE79" s="47"/>
      <c r="AF79" s="47"/>
      <c r="AG79" s="48"/>
      <c r="AH79" s="52"/>
      <c r="AI79" s="47"/>
      <c r="AJ79" s="47"/>
      <c r="AK79" s="47"/>
      <c r="AL79" s="48"/>
      <c r="AM79" s="50"/>
      <c r="AN79" s="47"/>
      <c r="AO79" s="47"/>
      <c r="AP79" s="47"/>
      <c r="AQ79" s="48"/>
      <c r="AR79" s="87"/>
      <c r="AS79" s="47"/>
      <c r="AT79" s="47"/>
      <c r="AU79" s="47"/>
      <c r="AV79" s="47"/>
      <c r="AW79" s="79"/>
      <c r="AX79" s="47"/>
      <c r="AY79" s="47"/>
      <c r="AZ79" s="47"/>
      <c r="BA79" s="48"/>
      <c r="BB79" s="80"/>
      <c r="BC79" s="47"/>
      <c r="BD79" s="47"/>
      <c r="BE79" s="47"/>
      <c r="BF79" s="47"/>
      <c r="BG79" s="81"/>
      <c r="BH79" s="47"/>
      <c r="BI79" s="47"/>
      <c r="BJ79" s="47"/>
      <c r="BK79" s="56"/>
    </row>
    <row r="80" ht="21.0" customHeight="1">
      <c r="A80" s="78"/>
      <c r="B80" s="44" t="s">
        <v>265</v>
      </c>
      <c r="C80" s="44" t="s">
        <v>145</v>
      </c>
      <c r="D80" s="45">
        <v>44979.0</v>
      </c>
      <c r="E80" s="45">
        <v>44980.0</v>
      </c>
      <c r="F80" s="44" t="s">
        <v>266</v>
      </c>
      <c r="G80" s="44" t="s">
        <v>59</v>
      </c>
      <c r="H80" s="44" t="s">
        <v>27</v>
      </c>
      <c r="I80" s="60"/>
      <c r="J80" s="47"/>
      <c r="K80" s="47"/>
      <c r="L80" s="47"/>
      <c r="M80" s="48"/>
      <c r="N80" s="61"/>
      <c r="O80" s="47"/>
      <c r="P80" s="47"/>
      <c r="Q80" s="47"/>
      <c r="R80" s="48"/>
      <c r="S80" s="46">
        <v>448.47</v>
      </c>
      <c r="T80" s="47"/>
      <c r="U80" s="47"/>
      <c r="V80" s="47"/>
      <c r="W80" s="48"/>
      <c r="X80" s="82">
        <v>637.73</v>
      </c>
      <c r="Y80" s="47"/>
      <c r="Z80" s="47"/>
      <c r="AA80" s="47"/>
      <c r="AB80" s="48"/>
      <c r="AC80" s="50"/>
      <c r="AD80" s="47"/>
      <c r="AE80" s="47"/>
      <c r="AF80" s="47"/>
      <c r="AG80" s="48"/>
      <c r="AH80" s="52"/>
      <c r="AI80" s="47"/>
      <c r="AJ80" s="47"/>
      <c r="AK80" s="47"/>
      <c r="AL80" s="48"/>
      <c r="AM80" s="50"/>
      <c r="AN80" s="47"/>
      <c r="AO80" s="47"/>
      <c r="AP80" s="47"/>
      <c r="AQ80" s="48"/>
      <c r="AR80" s="87"/>
      <c r="AS80" s="47"/>
      <c r="AT80" s="47"/>
      <c r="AU80" s="47"/>
      <c r="AV80" s="47"/>
      <c r="AW80" s="79"/>
      <c r="AX80" s="47"/>
      <c r="AY80" s="47"/>
      <c r="AZ80" s="47"/>
      <c r="BA80" s="48"/>
      <c r="BB80" s="80"/>
      <c r="BC80" s="47"/>
      <c r="BD80" s="47"/>
      <c r="BE80" s="47"/>
      <c r="BF80" s="47"/>
      <c r="BG80" s="81"/>
      <c r="BH80" s="47"/>
      <c r="BI80" s="47"/>
      <c r="BJ80" s="47"/>
      <c r="BK80" s="56"/>
    </row>
    <row r="81" ht="21.0" customHeight="1">
      <c r="A81" s="78"/>
      <c r="B81" s="44" t="s">
        <v>267</v>
      </c>
      <c r="C81" s="44" t="s">
        <v>268</v>
      </c>
      <c r="D81" s="45">
        <v>44991.0</v>
      </c>
      <c r="E81" s="45">
        <v>44993.0</v>
      </c>
      <c r="F81" s="44" t="s">
        <v>36</v>
      </c>
      <c r="G81" s="44" t="s">
        <v>59</v>
      </c>
      <c r="H81" s="57" t="s">
        <v>27</v>
      </c>
      <c r="I81" s="50"/>
      <c r="J81" s="47"/>
      <c r="K81" s="47"/>
      <c r="L81" s="47"/>
      <c r="M81" s="48"/>
      <c r="N81" s="51"/>
      <c r="O81" s="47"/>
      <c r="P81" s="47"/>
      <c r="Q81" s="47"/>
      <c r="R81" s="48"/>
      <c r="S81" s="46">
        <v>1233.95</v>
      </c>
      <c r="T81" s="47"/>
      <c r="U81" s="47"/>
      <c r="V81" s="47"/>
      <c r="W81" s="48"/>
      <c r="X81" s="105">
        <v>1264.97</v>
      </c>
      <c r="Y81" s="47"/>
      <c r="Z81" s="47"/>
      <c r="AA81" s="47"/>
      <c r="AB81" s="48"/>
      <c r="AC81" s="50"/>
      <c r="AD81" s="47"/>
      <c r="AE81" s="47"/>
      <c r="AF81" s="47"/>
      <c r="AG81" s="48"/>
      <c r="AH81" s="52"/>
      <c r="AI81" s="47"/>
      <c r="AJ81" s="47"/>
      <c r="AK81" s="47"/>
      <c r="AL81" s="48"/>
      <c r="AM81" s="50"/>
      <c r="AN81" s="47"/>
      <c r="AO81" s="47"/>
      <c r="AP81" s="47"/>
      <c r="AQ81" s="48"/>
      <c r="AR81" s="87"/>
      <c r="AS81" s="47"/>
      <c r="AT81" s="47"/>
      <c r="AU81" s="47"/>
      <c r="AV81" s="47"/>
      <c r="AW81" s="79"/>
      <c r="AX81" s="47"/>
      <c r="AY81" s="47"/>
      <c r="AZ81" s="47"/>
      <c r="BA81" s="48"/>
      <c r="BB81" s="80"/>
      <c r="BC81" s="47"/>
      <c r="BD81" s="47"/>
      <c r="BE81" s="47"/>
      <c r="BF81" s="47"/>
      <c r="BG81" s="81"/>
      <c r="BH81" s="47"/>
      <c r="BI81" s="47"/>
      <c r="BJ81" s="47"/>
      <c r="BK81" s="56"/>
    </row>
    <row r="82" ht="21.0" customHeight="1">
      <c r="A82" s="78"/>
      <c r="B82" s="44" t="s">
        <v>226</v>
      </c>
      <c r="C82" s="44" t="s">
        <v>227</v>
      </c>
      <c r="D82" s="45">
        <v>44991.0</v>
      </c>
      <c r="E82" s="45">
        <v>44995.0</v>
      </c>
      <c r="F82" s="44" t="s">
        <v>36</v>
      </c>
      <c r="G82" s="44" t="s">
        <v>59</v>
      </c>
      <c r="H82" s="44" t="s">
        <v>27</v>
      </c>
      <c r="I82" s="50"/>
      <c r="J82" s="47"/>
      <c r="K82" s="47"/>
      <c r="L82" s="47"/>
      <c r="M82" s="48"/>
      <c r="N82" s="51"/>
      <c r="O82" s="47"/>
      <c r="P82" s="47"/>
      <c r="Q82" s="47"/>
      <c r="R82" s="48"/>
      <c r="S82" s="46">
        <v>1434.4</v>
      </c>
      <c r="T82" s="47"/>
      <c r="U82" s="47"/>
      <c r="V82" s="47"/>
      <c r="W82" s="48"/>
      <c r="X82" s="105">
        <v>1336.25</v>
      </c>
      <c r="Y82" s="47"/>
      <c r="Z82" s="47"/>
      <c r="AA82" s="47"/>
      <c r="AB82" s="48"/>
      <c r="AC82" s="50"/>
      <c r="AD82" s="47"/>
      <c r="AE82" s="47"/>
      <c r="AF82" s="47"/>
      <c r="AG82" s="48"/>
      <c r="AH82" s="52"/>
      <c r="AI82" s="47"/>
      <c r="AJ82" s="47"/>
      <c r="AK82" s="47"/>
      <c r="AL82" s="48"/>
      <c r="AM82" s="50"/>
      <c r="AN82" s="47"/>
      <c r="AO82" s="47"/>
      <c r="AP82" s="47"/>
      <c r="AQ82" s="48"/>
      <c r="AR82" s="87"/>
      <c r="AS82" s="47"/>
      <c r="AT82" s="47"/>
      <c r="AU82" s="47"/>
      <c r="AV82" s="47"/>
      <c r="AW82" s="79"/>
      <c r="AX82" s="47"/>
      <c r="AY82" s="47"/>
      <c r="AZ82" s="47"/>
      <c r="BA82" s="48"/>
      <c r="BB82" s="80"/>
      <c r="BC82" s="47"/>
      <c r="BD82" s="47"/>
      <c r="BE82" s="47"/>
      <c r="BF82" s="47"/>
      <c r="BG82" s="81"/>
      <c r="BH82" s="47"/>
      <c r="BI82" s="47"/>
      <c r="BJ82" s="47"/>
      <c r="BK82" s="56"/>
    </row>
    <row r="83" ht="21.0" customHeight="1">
      <c r="A83" s="78"/>
      <c r="B83" s="44" t="s">
        <v>200</v>
      </c>
      <c r="C83" s="44" t="s">
        <v>269</v>
      </c>
      <c r="D83" s="45">
        <v>45005.0</v>
      </c>
      <c r="E83" s="45">
        <v>45008.0</v>
      </c>
      <c r="F83" s="44" t="s">
        <v>158</v>
      </c>
      <c r="G83" s="44" t="s">
        <v>187</v>
      </c>
      <c r="H83" s="44" t="s">
        <v>27</v>
      </c>
      <c r="I83" s="60"/>
      <c r="J83" s="47"/>
      <c r="K83" s="47"/>
      <c r="L83" s="47"/>
      <c r="M83" s="48"/>
      <c r="N83" s="61"/>
      <c r="O83" s="47"/>
      <c r="P83" s="47"/>
      <c r="Q83" s="47"/>
      <c r="R83" s="48"/>
      <c r="S83" s="46">
        <v>1215.05</v>
      </c>
      <c r="T83" s="47"/>
      <c r="U83" s="47"/>
      <c r="V83" s="47"/>
      <c r="W83" s="48"/>
      <c r="X83" s="105">
        <v>1356.32</v>
      </c>
      <c r="Y83" s="47"/>
      <c r="Z83" s="47"/>
      <c r="AA83" s="47"/>
      <c r="AB83" s="48"/>
      <c r="AC83" s="50"/>
      <c r="AD83" s="47"/>
      <c r="AE83" s="47"/>
      <c r="AF83" s="47"/>
      <c r="AG83" s="48"/>
      <c r="AH83" s="52"/>
      <c r="AI83" s="47"/>
      <c r="AJ83" s="47"/>
      <c r="AK83" s="47"/>
      <c r="AL83" s="48"/>
      <c r="AM83" s="50"/>
      <c r="AN83" s="47"/>
      <c r="AO83" s="47"/>
      <c r="AP83" s="47"/>
      <c r="AQ83" s="48"/>
      <c r="AR83" s="87"/>
      <c r="AS83" s="47"/>
      <c r="AT83" s="47"/>
      <c r="AU83" s="47"/>
      <c r="AV83" s="47"/>
      <c r="AW83" s="79"/>
      <c r="AX83" s="47"/>
      <c r="AY83" s="47"/>
      <c r="AZ83" s="47"/>
      <c r="BA83" s="48"/>
      <c r="BB83" s="80"/>
      <c r="BC83" s="47"/>
      <c r="BD83" s="47"/>
      <c r="BE83" s="47"/>
      <c r="BF83" s="47"/>
      <c r="BG83" s="81"/>
      <c r="BH83" s="47"/>
      <c r="BI83" s="47"/>
      <c r="BJ83" s="47"/>
      <c r="BK83" s="56"/>
    </row>
    <row r="84" ht="21.0" customHeight="1">
      <c r="A84" s="78"/>
      <c r="B84" s="44" t="s">
        <v>185</v>
      </c>
      <c r="C84" s="44" t="s">
        <v>269</v>
      </c>
      <c r="D84" s="45">
        <v>45005.0</v>
      </c>
      <c r="E84" s="45">
        <v>45009.0</v>
      </c>
      <c r="F84" s="44" t="s">
        <v>158</v>
      </c>
      <c r="G84" s="44" t="s">
        <v>187</v>
      </c>
      <c r="H84" s="44" t="s">
        <v>27</v>
      </c>
      <c r="I84" s="60"/>
      <c r="J84" s="47"/>
      <c r="K84" s="47"/>
      <c r="L84" s="47"/>
      <c r="M84" s="48"/>
      <c r="N84" s="61"/>
      <c r="O84" s="47"/>
      <c r="P84" s="47"/>
      <c r="Q84" s="47"/>
      <c r="R84" s="48"/>
      <c r="S84" s="46">
        <v>1500.32</v>
      </c>
      <c r="T84" s="47"/>
      <c r="U84" s="47"/>
      <c r="V84" s="47"/>
      <c r="W84" s="48"/>
      <c r="X84" s="105">
        <v>1435.13</v>
      </c>
      <c r="Y84" s="47"/>
      <c r="Z84" s="47"/>
      <c r="AA84" s="47"/>
      <c r="AB84" s="48"/>
      <c r="AC84" s="50"/>
      <c r="AD84" s="47"/>
      <c r="AE84" s="47"/>
      <c r="AF84" s="47"/>
      <c r="AG84" s="48"/>
      <c r="AH84" s="52"/>
      <c r="AI84" s="47"/>
      <c r="AJ84" s="47"/>
      <c r="AK84" s="47"/>
      <c r="AL84" s="48"/>
      <c r="AM84" s="50"/>
      <c r="AN84" s="47"/>
      <c r="AO84" s="47"/>
      <c r="AP84" s="47"/>
      <c r="AQ84" s="48"/>
      <c r="AR84" s="87"/>
      <c r="AS84" s="47"/>
      <c r="AT84" s="47"/>
      <c r="AU84" s="47"/>
      <c r="AV84" s="47"/>
      <c r="AW84" s="79"/>
      <c r="AX84" s="47"/>
      <c r="AY84" s="47"/>
      <c r="AZ84" s="47"/>
      <c r="BA84" s="48"/>
      <c r="BB84" s="80"/>
      <c r="BC84" s="47"/>
      <c r="BD84" s="47"/>
      <c r="BE84" s="47"/>
      <c r="BF84" s="47"/>
      <c r="BG84" s="81"/>
      <c r="BH84" s="47"/>
      <c r="BI84" s="47"/>
      <c r="BJ84" s="47"/>
      <c r="BK84" s="56"/>
    </row>
    <row r="85" ht="21.0" customHeight="1">
      <c r="A85" s="78"/>
      <c r="B85" s="44" t="s">
        <v>17</v>
      </c>
      <c r="C85" s="44" t="s">
        <v>40</v>
      </c>
      <c r="D85" s="45">
        <v>44998.0</v>
      </c>
      <c r="E85" s="45">
        <v>45001.0</v>
      </c>
      <c r="F85" s="44" t="s">
        <v>36</v>
      </c>
      <c r="G85" s="44" t="s">
        <v>26</v>
      </c>
      <c r="H85" s="44" t="s">
        <v>27</v>
      </c>
      <c r="I85" s="60"/>
      <c r="J85" s="47"/>
      <c r="K85" s="47"/>
      <c r="L85" s="47"/>
      <c r="M85" s="48"/>
      <c r="N85" s="61"/>
      <c r="O85" s="47"/>
      <c r="P85" s="47"/>
      <c r="Q85" s="47"/>
      <c r="R85" s="48"/>
      <c r="S85" s="46">
        <v>1451.39</v>
      </c>
      <c r="T85" s="47"/>
      <c r="U85" s="47"/>
      <c r="V85" s="47"/>
      <c r="W85" s="48"/>
      <c r="X85" s="49">
        <v>1559.73</v>
      </c>
      <c r="Y85" s="47"/>
      <c r="Z85" s="47"/>
      <c r="AA85" s="47"/>
      <c r="AB85" s="48"/>
      <c r="AC85" s="50"/>
      <c r="AD85" s="47"/>
      <c r="AE85" s="47"/>
      <c r="AF85" s="47"/>
      <c r="AG85" s="48"/>
      <c r="AH85" s="52"/>
      <c r="AI85" s="47"/>
      <c r="AJ85" s="47"/>
      <c r="AK85" s="47"/>
      <c r="AL85" s="48"/>
      <c r="AM85" s="50"/>
      <c r="AN85" s="47"/>
      <c r="AO85" s="47"/>
      <c r="AP85" s="47"/>
      <c r="AQ85" s="48"/>
      <c r="AR85" s="87"/>
      <c r="AS85" s="47"/>
      <c r="AT85" s="47"/>
      <c r="AU85" s="47"/>
      <c r="AV85" s="47"/>
      <c r="AW85" s="79"/>
      <c r="AX85" s="47"/>
      <c r="AY85" s="47"/>
      <c r="AZ85" s="47"/>
      <c r="BA85" s="48"/>
      <c r="BB85" s="80"/>
      <c r="BC85" s="47"/>
      <c r="BD85" s="47"/>
      <c r="BE85" s="47"/>
      <c r="BF85" s="47"/>
      <c r="BG85" s="81"/>
      <c r="BH85" s="47"/>
      <c r="BI85" s="47"/>
      <c r="BJ85" s="47"/>
      <c r="BK85" s="56"/>
    </row>
    <row r="86" ht="21.0" customHeight="1">
      <c r="A86" s="78"/>
      <c r="B86" s="44" t="s">
        <v>42</v>
      </c>
      <c r="C86" s="44" t="s">
        <v>41</v>
      </c>
      <c r="D86" s="45">
        <v>45005.0</v>
      </c>
      <c r="E86" s="45">
        <v>45008.0</v>
      </c>
      <c r="F86" s="44" t="s">
        <v>19</v>
      </c>
      <c r="G86" s="44" t="s">
        <v>26</v>
      </c>
      <c r="H86" s="44" t="s">
        <v>21</v>
      </c>
      <c r="I86" s="60"/>
      <c r="J86" s="47"/>
      <c r="K86" s="47"/>
      <c r="L86" s="47"/>
      <c r="M86" s="48"/>
      <c r="N86" s="61"/>
      <c r="O86" s="47"/>
      <c r="P86" s="47"/>
      <c r="Q86" s="47"/>
      <c r="R86" s="48"/>
      <c r="S86" s="46">
        <v>1665.98</v>
      </c>
      <c r="T86" s="47"/>
      <c r="U86" s="47"/>
      <c r="V86" s="47"/>
      <c r="W86" s="48"/>
      <c r="X86" s="49">
        <v>1620.96</v>
      </c>
      <c r="Y86" s="47"/>
      <c r="Z86" s="47"/>
      <c r="AA86" s="47"/>
      <c r="AB86" s="48"/>
      <c r="AC86" s="50"/>
      <c r="AD86" s="47"/>
      <c r="AE86" s="47"/>
      <c r="AF86" s="47"/>
      <c r="AG86" s="48"/>
      <c r="AH86" s="52"/>
      <c r="AI86" s="47"/>
      <c r="AJ86" s="47"/>
      <c r="AK86" s="47"/>
      <c r="AL86" s="48"/>
      <c r="AM86" s="50"/>
      <c r="AN86" s="47"/>
      <c r="AO86" s="47"/>
      <c r="AP86" s="47"/>
      <c r="AQ86" s="48"/>
      <c r="AR86" s="87"/>
      <c r="AS86" s="47"/>
      <c r="AT86" s="47"/>
      <c r="AU86" s="47"/>
      <c r="AV86" s="47"/>
      <c r="AW86" s="79"/>
      <c r="AX86" s="47"/>
      <c r="AY86" s="47"/>
      <c r="AZ86" s="47"/>
      <c r="BA86" s="48"/>
      <c r="BB86" s="80"/>
      <c r="BC86" s="47"/>
      <c r="BD86" s="47"/>
      <c r="BE86" s="47"/>
      <c r="BF86" s="47"/>
      <c r="BG86" s="81"/>
      <c r="BH86" s="47"/>
      <c r="BI86" s="47"/>
      <c r="BJ86" s="47"/>
      <c r="BK86" s="56"/>
    </row>
    <row r="87" ht="21.0" customHeight="1">
      <c r="A87" s="78"/>
      <c r="B87" s="44" t="s">
        <v>57</v>
      </c>
      <c r="C87" s="44" t="s">
        <v>80</v>
      </c>
      <c r="D87" s="45">
        <v>45005.0</v>
      </c>
      <c r="E87" s="45">
        <v>45010.0</v>
      </c>
      <c r="F87" s="44" t="s">
        <v>19</v>
      </c>
      <c r="G87" s="44" t="s">
        <v>26</v>
      </c>
      <c r="H87" s="57" t="s">
        <v>27</v>
      </c>
      <c r="I87" s="50"/>
      <c r="J87" s="47"/>
      <c r="K87" s="47"/>
      <c r="L87" s="47"/>
      <c r="M87" s="48"/>
      <c r="N87" s="61"/>
      <c r="O87" s="47"/>
      <c r="P87" s="47"/>
      <c r="Q87" s="47"/>
      <c r="R87" s="48"/>
      <c r="S87" s="46">
        <v>2378.96</v>
      </c>
      <c r="T87" s="47"/>
      <c r="U87" s="47"/>
      <c r="V87" s="47"/>
      <c r="W87" s="48"/>
      <c r="X87" s="69">
        <v>2685.58</v>
      </c>
      <c r="Y87" s="47"/>
      <c r="Z87" s="47"/>
      <c r="AA87" s="47"/>
      <c r="AB87" s="48"/>
      <c r="AC87" s="50"/>
      <c r="AD87" s="47"/>
      <c r="AE87" s="47"/>
      <c r="AF87" s="47"/>
      <c r="AG87" s="48"/>
      <c r="AH87" s="52"/>
      <c r="AI87" s="47"/>
      <c r="AJ87" s="47"/>
      <c r="AK87" s="47"/>
      <c r="AL87" s="48"/>
      <c r="AM87" s="50"/>
      <c r="AN87" s="47"/>
      <c r="AO87" s="47"/>
      <c r="AP87" s="47"/>
      <c r="AQ87" s="48"/>
      <c r="AR87" s="87"/>
      <c r="AS87" s="47"/>
      <c r="AT87" s="47"/>
      <c r="AU87" s="47"/>
      <c r="AV87" s="47"/>
      <c r="AW87" s="79"/>
      <c r="AX87" s="47"/>
      <c r="AY87" s="47"/>
      <c r="AZ87" s="47"/>
      <c r="BA87" s="48"/>
      <c r="BB87" s="80"/>
      <c r="BC87" s="47"/>
      <c r="BD87" s="47"/>
      <c r="BE87" s="47"/>
      <c r="BF87" s="47"/>
      <c r="BG87" s="81"/>
      <c r="BH87" s="47"/>
      <c r="BI87" s="47"/>
      <c r="BJ87" s="47"/>
      <c r="BK87" s="56"/>
    </row>
    <row r="88" ht="21.0" customHeight="1">
      <c r="A88" s="78"/>
      <c r="B88" s="44" t="s">
        <v>129</v>
      </c>
      <c r="C88" s="44" t="s">
        <v>236</v>
      </c>
      <c r="D88" s="45">
        <v>45005.0</v>
      </c>
      <c r="E88" s="45">
        <v>45009.0</v>
      </c>
      <c r="F88" s="44" t="s">
        <v>19</v>
      </c>
      <c r="G88" s="44" t="s">
        <v>26</v>
      </c>
      <c r="H88" s="57" t="s">
        <v>21</v>
      </c>
      <c r="I88" s="50"/>
      <c r="J88" s="47"/>
      <c r="K88" s="47"/>
      <c r="L88" s="47"/>
      <c r="M88" s="48"/>
      <c r="N88" s="51"/>
      <c r="O88" s="47"/>
      <c r="P88" s="47"/>
      <c r="Q88" s="47"/>
      <c r="R88" s="48"/>
      <c r="S88" s="46">
        <v>2491.02</v>
      </c>
      <c r="T88" s="47"/>
      <c r="U88" s="47"/>
      <c r="V88" s="47"/>
      <c r="W88" s="48"/>
      <c r="X88" s="71">
        <v>2443.13</v>
      </c>
      <c r="Y88" s="47"/>
      <c r="Z88" s="47"/>
      <c r="AA88" s="47"/>
      <c r="AB88" s="48"/>
      <c r="AC88" s="50"/>
      <c r="AD88" s="47"/>
      <c r="AE88" s="47"/>
      <c r="AF88" s="47"/>
      <c r="AG88" s="48"/>
      <c r="AH88" s="52"/>
      <c r="AI88" s="47"/>
      <c r="AJ88" s="47"/>
      <c r="AK88" s="47"/>
      <c r="AL88" s="48"/>
      <c r="AM88" s="50"/>
      <c r="AN88" s="47"/>
      <c r="AO88" s="47"/>
      <c r="AP88" s="47"/>
      <c r="AQ88" s="48"/>
      <c r="AR88" s="87"/>
      <c r="AS88" s="47"/>
      <c r="AT88" s="47"/>
      <c r="AU88" s="47"/>
      <c r="AV88" s="47"/>
      <c r="AW88" s="79"/>
      <c r="AX88" s="47"/>
      <c r="AY88" s="47"/>
      <c r="AZ88" s="47"/>
      <c r="BA88" s="48"/>
      <c r="BB88" s="80"/>
      <c r="BC88" s="47"/>
      <c r="BD88" s="47"/>
      <c r="BE88" s="47"/>
      <c r="BF88" s="47"/>
      <c r="BG88" s="81"/>
      <c r="BH88" s="47"/>
      <c r="BI88" s="47"/>
      <c r="BJ88" s="47"/>
      <c r="BK88" s="56"/>
    </row>
    <row r="89" ht="21.0" customHeight="1">
      <c r="A89" s="78"/>
      <c r="B89" s="44" t="s">
        <v>17</v>
      </c>
      <c r="C89" s="44" t="s">
        <v>41</v>
      </c>
      <c r="D89" s="45">
        <v>45005.0</v>
      </c>
      <c r="E89" s="45">
        <v>45008.0</v>
      </c>
      <c r="F89" s="44" t="s">
        <v>19</v>
      </c>
      <c r="G89" s="44" t="s">
        <v>26</v>
      </c>
      <c r="H89" s="44" t="s">
        <v>21</v>
      </c>
      <c r="I89" s="60"/>
      <c r="J89" s="47"/>
      <c r="K89" s="47"/>
      <c r="L89" s="47"/>
      <c r="M89" s="48"/>
      <c r="N89" s="61"/>
      <c r="O89" s="47"/>
      <c r="P89" s="47"/>
      <c r="Q89" s="47"/>
      <c r="R89" s="48"/>
      <c r="S89" s="46">
        <v>1629.9</v>
      </c>
      <c r="T89" s="47"/>
      <c r="U89" s="47"/>
      <c r="V89" s="47"/>
      <c r="W89" s="48"/>
      <c r="X89" s="49">
        <v>1760.93</v>
      </c>
      <c r="Y89" s="47"/>
      <c r="Z89" s="47"/>
      <c r="AA89" s="47"/>
      <c r="AB89" s="48"/>
      <c r="AC89" s="50"/>
      <c r="AD89" s="47"/>
      <c r="AE89" s="47"/>
      <c r="AF89" s="47"/>
      <c r="AG89" s="48"/>
      <c r="AH89" s="52"/>
      <c r="AI89" s="47"/>
      <c r="AJ89" s="47"/>
      <c r="AK89" s="47"/>
      <c r="AL89" s="48"/>
      <c r="AM89" s="50"/>
      <c r="AN89" s="47"/>
      <c r="AO89" s="47"/>
      <c r="AP89" s="47"/>
      <c r="AQ89" s="48"/>
      <c r="AR89" s="87"/>
      <c r="AS89" s="47"/>
      <c r="AT89" s="47"/>
      <c r="AU89" s="47"/>
      <c r="AV89" s="47"/>
      <c r="AW89" s="79"/>
      <c r="AX89" s="47"/>
      <c r="AY89" s="47"/>
      <c r="AZ89" s="47"/>
      <c r="BA89" s="48"/>
      <c r="BB89" s="80"/>
      <c r="BC89" s="47"/>
      <c r="BD89" s="47"/>
      <c r="BE89" s="47"/>
      <c r="BF89" s="47"/>
      <c r="BG89" s="81"/>
      <c r="BH89" s="47"/>
      <c r="BI89" s="47"/>
      <c r="BJ89" s="47"/>
      <c r="BK89" s="56"/>
    </row>
    <row r="90" ht="21.0" customHeight="1">
      <c r="A90" s="78"/>
      <c r="B90" s="44" t="s">
        <v>159</v>
      </c>
      <c r="C90" s="44" t="s">
        <v>175</v>
      </c>
      <c r="D90" s="45">
        <v>45010.0</v>
      </c>
      <c r="E90" s="45">
        <v>45016.0</v>
      </c>
      <c r="F90" s="44" t="s">
        <v>176</v>
      </c>
      <c r="G90" s="44" t="s">
        <v>26</v>
      </c>
      <c r="H90" s="57" t="s">
        <v>21</v>
      </c>
      <c r="I90" s="60"/>
      <c r="J90" s="47"/>
      <c r="K90" s="47"/>
      <c r="L90" s="47"/>
      <c r="M90" s="48"/>
      <c r="N90" s="61"/>
      <c r="O90" s="47"/>
      <c r="P90" s="47"/>
      <c r="Q90" s="47"/>
      <c r="R90" s="47"/>
      <c r="S90" s="46" t="s">
        <v>56</v>
      </c>
      <c r="T90" s="47"/>
      <c r="U90" s="47"/>
      <c r="V90" s="47"/>
      <c r="W90" s="48"/>
      <c r="X90" s="71" t="s">
        <v>56</v>
      </c>
      <c r="Y90" s="47"/>
      <c r="Z90" s="47"/>
      <c r="AA90" s="47"/>
      <c r="AB90" s="48"/>
      <c r="AC90" s="50"/>
      <c r="AD90" s="47"/>
      <c r="AE90" s="47"/>
      <c r="AF90" s="47"/>
      <c r="AG90" s="48"/>
      <c r="AH90" s="52"/>
      <c r="AI90" s="47"/>
      <c r="AJ90" s="47"/>
      <c r="AK90" s="47"/>
      <c r="AL90" s="48"/>
      <c r="AM90" s="50"/>
      <c r="AN90" s="47"/>
      <c r="AO90" s="47"/>
      <c r="AP90" s="47"/>
      <c r="AQ90" s="48"/>
      <c r="AR90" s="87"/>
      <c r="AS90" s="47"/>
      <c r="AT90" s="47"/>
      <c r="AU90" s="47"/>
      <c r="AV90" s="47"/>
      <c r="AW90" s="79"/>
      <c r="AX90" s="47"/>
      <c r="AY90" s="47"/>
      <c r="AZ90" s="47"/>
      <c r="BA90" s="48"/>
      <c r="BB90" s="80"/>
      <c r="BC90" s="47"/>
      <c r="BD90" s="47"/>
      <c r="BE90" s="47"/>
      <c r="BF90" s="47"/>
      <c r="BG90" s="81"/>
      <c r="BH90" s="47"/>
      <c r="BI90" s="47"/>
      <c r="BJ90" s="47"/>
      <c r="BK90" s="56"/>
    </row>
    <row r="91" ht="21.0" customHeight="1">
      <c r="A91" s="78"/>
      <c r="B91" s="44" t="s">
        <v>159</v>
      </c>
      <c r="C91" s="44" t="s">
        <v>177</v>
      </c>
      <c r="D91" s="45">
        <v>45016.0</v>
      </c>
      <c r="E91" s="45">
        <v>45026.0</v>
      </c>
      <c r="F91" s="44" t="s">
        <v>178</v>
      </c>
      <c r="G91" s="44" t="s">
        <v>84</v>
      </c>
      <c r="H91" s="57" t="s">
        <v>124</v>
      </c>
      <c r="I91" s="60"/>
      <c r="J91" s="47"/>
      <c r="K91" s="47"/>
      <c r="L91" s="47"/>
      <c r="M91" s="48"/>
      <c r="N91" s="61"/>
      <c r="O91" s="47"/>
      <c r="P91" s="47"/>
      <c r="Q91" s="47"/>
      <c r="R91" s="47"/>
      <c r="S91" s="46">
        <v>3858.09</v>
      </c>
      <c r="T91" s="47"/>
      <c r="U91" s="47"/>
      <c r="V91" s="47"/>
      <c r="W91" s="48"/>
      <c r="X91" s="71">
        <v>3216.77</v>
      </c>
      <c r="Y91" s="47"/>
      <c r="Z91" s="47"/>
      <c r="AA91" s="47"/>
      <c r="AB91" s="48"/>
      <c r="AC91" s="50"/>
      <c r="AD91" s="47"/>
      <c r="AE91" s="47"/>
      <c r="AF91" s="47"/>
      <c r="AG91" s="48"/>
      <c r="AH91" s="52"/>
      <c r="AI91" s="47"/>
      <c r="AJ91" s="47"/>
      <c r="AK91" s="47"/>
      <c r="AL91" s="48"/>
      <c r="AM91" s="50"/>
      <c r="AN91" s="47"/>
      <c r="AO91" s="47"/>
      <c r="AP91" s="47"/>
      <c r="AQ91" s="48"/>
      <c r="AR91" s="87"/>
      <c r="AS91" s="47"/>
      <c r="AT91" s="47"/>
      <c r="AU91" s="47"/>
      <c r="AV91" s="47"/>
      <c r="AW91" s="79"/>
      <c r="AX91" s="47"/>
      <c r="AY91" s="47"/>
      <c r="AZ91" s="47"/>
      <c r="BA91" s="48"/>
      <c r="BB91" s="80"/>
      <c r="BC91" s="47"/>
      <c r="BD91" s="47"/>
      <c r="BE91" s="47"/>
      <c r="BF91" s="47"/>
      <c r="BG91" s="81"/>
      <c r="BH91" s="47"/>
      <c r="BI91" s="47"/>
      <c r="BJ91" s="47"/>
      <c r="BK91" s="56"/>
    </row>
    <row r="92" ht="21.0" customHeight="1">
      <c r="A92" s="78"/>
      <c r="B92" s="44" t="s">
        <v>118</v>
      </c>
      <c r="C92" s="44" t="s">
        <v>83</v>
      </c>
      <c r="D92" s="45">
        <v>45005.0</v>
      </c>
      <c r="E92" s="45">
        <v>45008.0</v>
      </c>
      <c r="F92" s="44" t="s">
        <v>19</v>
      </c>
      <c r="G92" s="44" t="s">
        <v>26</v>
      </c>
      <c r="H92" s="57" t="s">
        <v>21</v>
      </c>
      <c r="I92" s="60"/>
      <c r="J92" s="47"/>
      <c r="K92" s="47"/>
      <c r="L92" s="47"/>
      <c r="M92" s="48"/>
      <c r="N92" s="61"/>
      <c r="O92" s="47"/>
      <c r="P92" s="47"/>
      <c r="Q92" s="47"/>
      <c r="R92" s="47"/>
      <c r="S92" s="46">
        <v>2683.4</v>
      </c>
      <c r="T92" s="47"/>
      <c r="U92" s="47"/>
      <c r="V92" s="47"/>
      <c r="W92" s="48"/>
      <c r="X92" s="71">
        <v>2610.32</v>
      </c>
      <c r="Y92" s="47"/>
      <c r="Z92" s="47"/>
      <c r="AA92" s="47"/>
      <c r="AB92" s="48"/>
      <c r="AC92" s="50"/>
      <c r="AD92" s="47"/>
      <c r="AE92" s="47"/>
      <c r="AF92" s="47"/>
      <c r="AG92" s="48"/>
      <c r="AH92" s="52"/>
      <c r="AI92" s="47"/>
      <c r="AJ92" s="47"/>
      <c r="AK92" s="47"/>
      <c r="AL92" s="48"/>
      <c r="AM92" s="50"/>
      <c r="AN92" s="47"/>
      <c r="AO92" s="47"/>
      <c r="AP92" s="47"/>
      <c r="AQ92" s="48"/>
      <c r="AR92" s="87"/>
      <c r="AS92" s="47"/>
      <c r="AT92" s="47"/>
      <c r="AU92" s="47"/>
      <c r="AV92" s="47"/>
      <c r="AW92" s="79"/>
      <c r="AX92" s="47"/>
      <c r="AY92" s="47"/>
      <c r="AZ92" s="47"/>
      <c r="BA92" s="48"/>
      <c r="BB92" s="80"/>
      <c r="BC92" s="47"/>
      <c r="BD92" s="47"/>
      <c r="BE92" s="47"/>
      <c r="BF92" s="47"/>
      <c r="BG92" s="81"/>
      <c r="BH92" s="47"/>
      <c r="BI92" s="47"/>
      <c r="BJ92" s="47"/>
      <c r="BK92" s="56"/>
    </row>
    <row r="93" ht="21.0" customHeight="1">
      <c r="A93" s="78"/>
      <c r="B93" s="44" t="s">
        <v>51</v>
      </c>
      <c r="C93" s="44" t="s">
        <v>83</v>
      </c>
      <c r="D93" s="45">
        <v>45004.0</v>
      </c>
      <c r="E93" s="45">
        <v>45009.0</v>
      </c>
      <c r="F93" s="44" t="s">
        <v>19</v>
      </c>
      <c r="G93" s="44" t="s">
        <v>26</v>
      </c>
      <c r="H93" s="57" t="s">
        <v>21</v>
      </c>
      <c r="I93" s="50"/>
      <c r="J93" s="47"/>
      <c r="K93" s="47"/>
      <c r="L93" s="47"/>
      <c r="M93" s="48"/>
      <c r="N93" s="61"/>
      <c r="O93" s="47"/>
      <c r="P93" s="47"/>
      <c r="Q93" s="47"/>
      <c r="R93" s="48"/>
      <c r="S93" s="46">
        <v>3286.17</v>
      </c>
      <c r="T93" s="47"/>
      <c r="U93" s="47"/>
      <c r="V93" s="47"/>
      <c r="W93" s="48"/>
      <c r="X93" s="69">
        <v>3130.33</v>
      </c>
      <c r="Y93" s="47"/>
      <c r="Z93" s="47"/>
      <c r="AA93" s="47"/>
      <c r="AB93" s="48"/>
      <c r="AC93" s="50"/>
      <c r="AD93" s="47"/>
      <c r="AE93" s="47"/>
      <c r="AF93" s="47"/>
      <c r="AG93" s="48"/>
      <c r="AH93" s="52"/>
      <c r="AI93" s="47"/>
      <c r="AJ93" s="47"/>
      <c r="AK93" s="47"/>
      <c r="AL93" s="48"/>
      <c r="AM93" s="50"/>
      <c r="AN93" s="47"/>
      <c r="AO93" s="47"/>
      <c r="AP93" s="47"/>
      <c r="AQ93" s="48"/>
      <c r="AR93" s="87"/>
      <c r="AS93" s="47"/>
      <c r="AT93" s="47"/>
      <c r="AU93" s="47"/>
      <c r="AV93" s="47"/>
      <c r="AW93" s="79"/>
      <c r="AX93" s="47"/>
      <c r="AY93" s="47"/>
      <c r="AZ93" s="47"/>
      <c r="BA93" s="48"/>
      <c r="BB93" s="80"/>
      <c r="BC93" s="47"/>
      <c r="BD93" s="47"/>
      <c r="BE93" s="47"/>
      <c r="BF93" s="47"/>
      <c r="BG93" s="81"/>
      <c r="BH93" s="47"/>
      <c r="BI93" s="47"/>
      <c r="BJ93" s="47"/>
      <c r="BK93" s="56"/>
    </row>
    <row r="94" ht="21.0" customHeight="1">
      <c r="A94" s="78"/>
      <c r="B94" s="119" t="s">
        <v>132</v>
      </c>
      <c r="C94" s="119" t="s">
        <v>277</v>
      </c>
      <c r="D94" s="120">
        <v>45005.0</v>
      </c>
      <c r="E94" s="120">
        <v>45009.0</v>
      </c>
      <c r="F94" s="119" t="s">
        <v>19</v>
      </c>
      <c r="G94" s="119" t="s">
        <v>26</v>
      </c>
      <c r="H94" s="121" t="s">
        <v>21</v>
      </c>
      <c r="I94" s="60"/>
      <c r="J94" s="47"/>
      <c r="K94" s="47"/>
      <c r="L94" s="47"/>
      <c r="M94" s="48"/>
      <c r="N94" s="61"/>
      <c r="O94" s="47"/>
      <c r="P94" s="47"/>
      <c r="Q94" s="47"/>
      <c r="R94" s="48"/>
      <c r="S94" s="46">
        <v>2115.62</v>
      </c>
      <c r="T94" s="47"/>
      <c r="U94" s="47"/>
      <c r="V94" s="47"/>
      <c r="W94" s="48"/>
      <c r="X94" s="69" t="s">
        <v>56</v>
      </c>
      <c r="Y94" s="47"/>
      <c r="Z94" s="47"/>
      <c r="AA94" s="47"/>
      <c r="AB94" s="48"/>
      <c r="AC94" s="91"/>
      <c r="AD94" s="47"/>
      <c r="AE94" s="47"/>
      <c r="AF94" s="47"/>
      <c r="AG94" s="48"/>
      <c r="AH94" s="52"/>
      <c r="AI94" s="47"/>
      <c r="AJ94" s="47"/>
      <c r="AK94" s="47"/>
      <c r="AL94" s="48"/>
      <c r="AM94" s="50"/>
      <c r="AN94" s="47"/>
      <c r="AO94" s="47"/>
      <c r="AP94" s="47"/>
      <c r="AQ94" s="48"/>
      <c r="AR94" s="87"/>
      <c r="AS94" s="47"/>
      <c r="AT94" s="47"/>
      <c r="AU94" s="47"/>
      <c r="AV94" s="47"/>
      <c r="AW94" s="79"/>
      <c r="AX94" s="47"/>
      <c r="AY94" s="47"/>
      <c r="AZ94" s="47"/>
      <c r="BA94" s="48"/>
      <c r="BB94" s="80"/>
      <c r="BC94" s="47"/>
      <c r="BD94" s="47"/>
      <c r="BE94" s="47"/>
      <c r="BF94" s="47"/>
      <c r="BG94" s="81"/>
      <c r="BH94" s="47"/>
      <c r="BI94" s="47"/>
      <c r="BJ94" s="47"/>
      <c r="BK94" s="56"/>
    </row>
    <row r="95" ht="21.0" customHeight="1">
      <c r="A95" s="78"/>
      <c r="B95" s="119" t="s">
        <v>66</v>
      </c>
      <c r="C95" s="119" t="s">
        <v>89</v>
      </c>
      <c r="D95" s="120">
        <v>45008.0</v>
      </c>
      <c r="E95" s="120">
        <v>45008.0</v>
      </c>
      <c r="F95" s="119" t="s">
        <v>19</v>
      </c>
      <c r="G95" s="119" t="s">
        <v>26</v>
      </c>
      <c r="H95" s="121" t="s">
        <v>60</v>
      </c>
      <c r="I95" s="60"/>
      <c r="J95" s="47"/>
      <c r="K95" s="47"/>
      <c r="L95" s="47"/>
      <c r="M95" s="48"/>
      <c r="N95" s="61"/>
      <c r="O95" s="47"/>
      <c r="P95" s="47"/>
      <c r="Q95" s="47"/>
      <c r="R95" s="48"/>
      <c r="S95" s="46" t="s">
        <v>56</v>
      </c>
      <c r="T95" s="47"/>
      <c r="U95" s="47"/>
      <c r="V95" s="47"/>
      <c r="W95" s="48"/>
      <c r="X95" s="69">
        <v>52.38</v>
      </c>
      <c r="Y95" s="47"/>
      <c r="Z95" s="47"/>
      <c r="AA95" s="47"/>
      <c r="AB95" s="48"/>
      <c r="AC95" s="91"/>
      <c r="AD95" s="47"/>
      <c r="AE95" s="47"/>
      <c r="AF95" s="47"/>
      <c r="AG95" s="48"/>
      <c r="AH95" s="52"/>
      <c r="AI95" s="47"/>
      <c r="AJ95" s="47"/>
      <c r="AK95" s="47"/>
      <c r="AL95" s="48"/>
      <c r="AM95" s="50"/>
      <c r="AN95" s="47"/>
      <c r="AO95" s="47"/>
      <c r="AP95" s="47"/>
      <c r="AQ95" s="48"/>
      <c r="AR95" s="87"/>
      <c r="AS95" s="47"/>
      <c r="AT95" s="47"/>
      <c r="AU95" s="47"/>
      <c r="AV95" s="47"/>
      <c r="AW95" s="79"/>
      <c r="AX95" s="47"/>
      <c r="AY95" s="47"/>
      <c r="AZ95" s="47"/>
      <c r="BA95" s="48"/>
      <c r="BB95" s="80"/>
      <c r="BC95" s="47"/>
      <c r="BD95" s="47"/>
      <c r="BE95" s="47"/>
      <c r="BF95" s="47"/>
      <c r="BG95" s="81"/>
      <c r="BH95" s="47"/>
      <c r="BI95" s="47"/>
      <c r="BJ95" s="47"/>
      <c r="BK95" s="56"/>
    </row>
    <row r="96" ht="21.0" customHeight="1">
      <c r="A96" s="78"/>
      <c r="B96" s="44" t="s">
        <v>225</v>
      </c>
      <c r="C96" s="44" t="s">
        <v>238</v>
      </c>
      <c r="D96" s="45">
        <v>45027.0</v>
      </c>
      <c r="E96" s="45">
        <v>45030.0</v>
      </c>
      <c r="F96" s="44" t="s">
        <v>30</v>
      </c>
      <c r="G96" s="44" t="s">
        <v>59</v>
      </c>
      <c r="H96" s="44" t="s">
        <v>60</v>
      </c>
      <c r="I96" s="132"/>
      <c r="J96" s="47"/>
      <c r="K96" s="47"/>
      <c r="L96" s="47"/>
      <c r="M96" s="48"/>
      <c r="N96" s="61"/>
      <c r="O96" s="47"/>
      <c r="P96" s="47"/>
      <c r="Q96" s="47"/>
      <c r="R96" s="48"/>
      <c r="S96" s="50"/>
      <c r="T96" s="47"/>
      <c r="U96" s="47"/>
      <c r="V96" s="47"/>
      <c r="W96" s="48"/>
      <c r="X96" s="52"/>
      <c r="Y96" s="47"/>
      <c r="Z96" s="47"/>
      <c r="AA96" s="47"/>
      <c r="AB96" s="48"/>
      <c r="AC96" s="46" t="s">
        <v>56</v>
      </c>
      <c r="AD96" s="47"/>
      <c r="AE96" s="47"/>
      <c r="AF96" s="47"/>
      <c r="AG96" s="48"/>
      <c r="AH96" s="82">
        <v>281.58</v>
      </c>
      <c r="AI96" s="47"/>
      <c r="AJ96" s="47"/>
      <c r="AK96" s="47"/>
      <c r="AL96" s="48"/>
      <c r="AM96" s="91"/>
      <c r="AN96" s="47"/>
      <c r="AO96" s="47"/>
      <c r="AP96" s="47"/>
      <c r="AQ96" s="48"/>
      <c r="AR96" s="87"/>
      <c r="AS96" s="47"/>
      <c r="AT96" s="47"/>
      <c r="AU96" s="47"/>
      <c r="AV96" s="47"/>
      <c r="AW96" s="79"/>
      <c r="AX96" s="47"/>
      <c r="AY96" s="47"/>
      <c r="AZ96" s="47"/>
      <c r="BA96" s="48"/>
      <c r="BB96" s="80"/>
      <c r="BC96" s="47"/>
      <c r="BD96" s="47"/>
      <c r="BE96" s="47"/>
      <c r="BF96" s="47"/>
      <c r="BG96" s="81"/>
      <c r="BH96" s="47"/>
      <c r="BI96" s="47"/>
      <c r="BJ96" s="47"/>
      <c r="BK96" s="56"/>
    </row>
    <row r="97" ht="21.0" customHeight="1">
      <c r="A97" s="78"/>
      <c r="B97" s="44" t="s">
        <v>248</v>
      </c>
      <c r="C97" s="44" t="s">
        <v>285</v>
      </c>
      <c r="D97" s="45">
        <v>45030.0</v>
      </c>
      <c r="E97" s="45">
        <v>45039.0</v>
      </c>
      <c r="F97" s="44" t="s">
        <v>286</v>
      </c>
      <c r="G97" s="44" t="s">
        <v>251</v>
      </c>
      <c r="H97" s="57" t="s">
        <v>287</v>
      </c>
      <c r="I97" s="50"/>
      <c r="J97" s="47"/>
      <c r="K97" s="47"/>
      <c r="L97" s="47"/>
      <c r="M97" s="48"/>
      <c r="N97" s="61"/>
      <c r="O97" s="47"/>
      <c r="P97" s="47"/>
      <c r="Q97" s="47"/>
      <c r="R97" s="48"/>
      <c r="S97" s="50"/>
      <c r="T97" s="47"/>
      <c r="U97" s="47"/>
      <c r="V97" s="47"/>
      <c r="W97" s="48"/>
      <c r="X97" s="51"/>
      <c r="Y97" s="47"/>
      <c r="Z97" s="47"/>
      <c r="AA97" s="47"/>
      <c r="AB97" s="48"/>
      <c r="AC97" s="46">
        <v>1902.96</v>
      </c>
      <c r="AD97" s="47"/>
      <c r="AE97" s="47"/>
      <c r="AF97" s="47"/>
      <c r="AG97" s="48"/>
      <c r="AH97" s="82" t="s">
        <v>56</v>
      </c>
      <c r="AI97" s="47"/>
      <c r="AJ97" s="47"/>
      <c r="AK97" s="47"/>
      <c r="AL97" s="48"/>
      <c r="AM97" s="50"/>
      <c r="AN97" s="47"/>
      <c r="AO97" s="47"/>
      <c r="AP97" s="47"/>
      <c r="AQ97" s="48"/>
      <c r="AR97" s="87"/>
      <c r="AS97" s="47"/>
      <c r="AT97" s="47"/>
      <c r="AU97" s="47"/>
      <c r="AV97" s="47"/>
      <c r="AW97" s="79"/>
      <c r="AX97" s="47"/>
      <c r="AY97" s="47"/>
      <c r="AZ97" s="47"/>
      <c r="BA97" s="48"/>
      <c r="BB97" s="80"/>
      <c r="BC97" s="47"/>
      <c r="BD97" s="47"/>
      <c r="BE97" s="47"/>
      <c r="BF97" s="47"/>
      <c r="BG97" s="81"/>
      <c r="BH97" s="47"/>
      <c r="BI97" s="47"/>
      <c r="BJ97" s="47"/>
      <c r="BK97" s="56"/>
    </row>
    <row r="98" ht="21.0" customHeight="1">
      <c r="A98" s="78"/>
      <c r="B98" s="44" t="s">
        <v>23</v>
      </c>
      <c r="C98" s="44" t="s">
        <v>44</v>
      </c>
      <c r="D98" s="45">
        <v>45033.0</v>
      </c>
      <c r="E98" s="45">
        <v>45037.0</v>
      </c>
      <c r="F98" s="44" t="s">
        <v>38</v>
      </c>
      <c r="G98" s="44" t="s">
        <v>26</v>
      </c>
      <c r="H98" s="44" t="s">
        <v>21</v>
      </c>
      <c r="I98" s="60"/>
      <c r="J98" s="47"/>
      <c r="K98" s="47"/>
      <c r="L98" s="47"/>
      <c r="M98" s="48"/>
      <c r="N98" s="61"/>
      <c r="O98" s="47"/>
      <c r="P98" s="47"/>
      <c r="Q98" s="47"/>
      <c r="R98" s="48"/>
      <c r="S98" s="50"/>
      <c r="T98" s="47"/>
      <c r="U98" s="47"/>
      <c r="V98" s="47"/>
      <c r="W98" s="48"/>
      <c r="X98" s="51"/>
      <c r="Y98" s="47"/>
      <c r="Z98" s="47"/>
      <c r="AA98" s="47"/>
      <c r="AB98" s="48"/>
      <c r="AC98" s="46">
        <v>1853.62</v>
      </c>
      <c r="AD98" s="47"/>
      <c r="AE98" s="47"/>
      <c r="AF98" s="47"/>
      <c r="AG98" s="48"/>
      <c r="AH98" s="49">
        <v>1961.38</v>
      </c>
      <c r="AI98" s="47"/>
      <c r="AJ98" s="47"/>
      <c r="AK98" s="47"/>
      <c r="AL98" s="48"/>
      <c r="AM98" s="50"/>
      <c r="AN98" s="47"/>
      <c r="AO98" s="47"/>
      <c r="AP98" s="47"/>
      <c r="AQ98" s="48"/>
      <c r="AR98" s="87"/>
      <c r="AS98" s="47"/>
      <c r="AT98" s="47"/>
      <c r="AU98" s="47"/>
      <c r="AV98" s="47"/>
      <c r="AW98" s="79"/>
      <c r="AX98" s="47"/>
      <c r="AY98" s="47"/>
      <c r="AZ98" s="47"/>
      <c r="BA98" s="48"/>
      <c r="BB98" s="80"/>
      <c r="BC98" s="47"/>
      <c r="BD98" s="47"/>
      <c r="BE98" s="47"/>
      <c r="BF98" s="47"/>
      <c r="BG98" s="81"/>
      <c r="BH98" s="47"/>
      <c r="BI98" s="47"/>
      <c r="BJ98" s="47"/>
      <c r="BK98" s="56"/>
    </row>
    <row r="99" ht="21.0" customHeight="1">
      <c r="A99" s="78"/>
      <c r="B99" s="44" t="s">
        <v>17</v>
      </c>
      <c r="C99" s="44" t="s">
        <v>46</v>
      </c>
      <c r="D99" s="45">
        <v>45026.0</v>
      </c>
      <c r="E99" s="45">
        <v>45038.0</v>
      </c>
      <c r="F99" s="44" t="s">
        <v>47</v>
      </c>
      <c r="G99" s="44" t="s">
        <v>48</v>
      </c>
      <c r="H99" s="44" t="s">
        <v>49</v>
      </c>
      <c r="I99" s="60"/>
      <c r="J99" s="47"/>
      <c r="K99" s="47"/>
      <c r="L99" s="47"/>
      <c r="M99" s="48"/>
      <c r="N99" s="61"/>
      <c r="O99" s="47"/>
      <c r="P99" s="47"/>
      <c r="Q99" s="47"/>
      <c r="R99" s="48"/>
      <c r="S99" s="50"/>
      <c r="T99" s="47"/>
      <c r="U99" s="47"/>
      <c r="V99" s="47"/>
      <c r="W99" s="48"/>
      <c r="X99" s="51"/>
      <c r="Y99" s="47"/>
      <c r="Z99" s="47"/>
      <c r="AA99" s="47"/>
      <c r="AB99" s="48"/>
      <c r="AC99" s="46">
        <v>8031.74</v>
      </c>
      <c r="AD99" s="47"/>
      <c r="AE99" s="47"/>
      <c r="AF99" s="47"/>
      <c r="AG99" s="48"/>
      <c r="AH99" s="49">
        <v>8229.14</v>
      </c>
      <c r="AI99" s="47"/>
      <c r="AJ99" s="47"/>
      <c r="AK99" s="47"/>
      <c r="AL99" s="48"/>
      <c r="AM99" s="91"/>
      <c r="AN99" s="47"/>
      <c r="AO99" s="47"/>
      <c r="AP99" s="47"/>
      <c r="AQ99" s="48"/>
      <c r="AR99" s="87"/>
      <c r="AS99" s="47"/>
      <c r="AT99" s="47"/>
      <c r="AU99" s="47"/>
      <c r="AV99" s="47"/>
      <c r="AW99" s="79"/>
      <c r="AX99" s="47"/>
      <c r="AY99" s="47"/>
      <c r="AZ99" s="47"/>
      <c r="BA99" s="48"/>
      <c r="BB99" s="80"/>
      <c r="BC99" s="47"/>
      <c r="BD99" s="47"/>
      <c r="BE99" s="47"/>
      <c r="BF99" s="47"/>
      <c r="BG99" s="81"/>
      <c r="BH99" s="47"/>
      <c r="BI99" s="47"/>
      <c r="BJ99" s="47"/>
      <c r="BK99" s="56"/>
    </row>
    <row r="100" ht="21.0" customHeight="1">
      <c r="A100" s="78"/>
      <c r="B100" s="119" t="s">
        <v>162</v>
      </c>
      <c r="C100" s="119" t="s">
        <v>177</v>
      </c>
      <c r="D100" s="120">
        <v>45018.0</v>
      </c>
      <c r="E100" s="120">
        <v>45022.0</v>
      </c>
      <c r="F100" s="119" t="s">
        <v>155</v>
      </c>
      <c r="G100" s="119" t="s">
        <v>187</v>
      </c>
      <c r="H100" s="121" t="s">
        <v>124</v>
      </c>
      <c r="I100" s="60"/>
      <c r="J100" s="47"/>
      <c r="K100" s="47"/>
      <c r="L100" s="47"/>
      <c r="M100" s="48"/>
      <c r="N100" s="61"/>
      <c r="O100" s="47"/>
      <c r="P100" s="47"/>
      <c r="Q100" s="47"/>
      <c r="R100" s="48"/>
      <c r="S100" s="50"/>
      <c r="T100" s="47"/>
      <c r="U100" s="47"/>
      <c r="V100" s="47"/>
      <c r="W100" s="48"/>
      <c r="X100" s="52"/>
      <c r="Y100" s="47"/>
      <c r="Z100" s="47"/>
      <c r="AA100" s="47"/>
      <c r="AB100" s="48"/>
      <c r="AC100" s="46">
        <v>1494.17</v>
      </c>
      <c r="AD100" s="47"/>
      <c r="AE100" s="47"/>
      <c r="AF100" s="47"/>
      <c r="AG100" s="48"/>
      <c r="AH100" s="69">
        <v>1199.32</v>
      </c>
      <c r="AI100" s="47"/>
      <c r="AJ100" s="47"/>
      <c r="AK100" s="47"/>
      <c r="AL100" s="48"/>
      <c r="AM100" s="91"/>
      <c r="AN100" s="47"/>
      <c r="AO100" s="47"/>
      <c r="AP100" s="47"/>
      <c r="AQ100" s="48"/>
      <c r="AR100" s="87"/>
      <c r="AS100" s="47"/>
      <c r="AT100" s="47"/>
      <c r="AU100" s="47"/>
      <c r="AV100" s="47"/>
      <c r="AW100" s="79"/>
      <c r="AX100" s="47"/>
      <c r="AY100" s="47"/>
      <c r="AZ100" s="47"/>
      <c r="BA100" s="48"/>
      <c r="BB100" s="80"/>
      <c r="BC100" s="47"/>
      <c r="BD100" s="47"/>
      <c r="BE100" s="47"/>
      <c r="BF100" s="47"/>
      <c r="BG100" s="81"/>
      <c r="BH100" s="47"/>
      <c r="BI100" s="47"/>
      <c r="BJ100" s="47"/>
      <c r="BK100" s="56"/>
    </row>
    <row r="101" ht="21.0" customHeight="1">
      <c r="A101" s="78"/>
      <c r="B101" s="44" t="s">
        <v>57</v>
      </c>
      <c r="C101" s="44" t="s">
        <v>96</v>
      </c>
      <c r="D101" s="45">
        <v>45033.0</v>
      </c>
      <c r="E101" s="45">
        <v>45038.0</v>
      </c>
      <c r="F101" s="44" t="s">
        <v>97</v>
      </c>
      <c r="G101" s="44" t="s">
        <v>26</v>
      </c>
      <c r="H101" s="57" t="s">
        <v>21</v>
      </c>
      <c r="I101" s="50"/>
      <c r="J101" s="47"/>
      <c r="K101" s="47"/>
      <c r="L101" s="47"/>
      <c r="M101" s="48"/>
      <c r="N101" s="61"/>
      <c r="O101" s="47"/>
      <c r="P101" s="47"/>
      <c r="Q101" s="47"/>
      <c r="R101" s="48"/>
      <c r="S101" s="50"/>
      <c r="T101" s="47"/>
      <c r="U101" s="47"/>
      <c r="V101" s="47"/>
      <c r="W101" s="48"/>
      <c r="X101" s="51"/>
      <c r="Y101" s="47"/>
      <c r="Z101" s="47"/>
      <c r="AA101" s="47"/>
      <c r="AB101" s="48"/>
      <c r="AC101" s="46">
        <v>1214.68</v>
      </c>
      <c r="AD101" s="47"/>
      <c r="AE101" s="47"/>
      <c r="AF101" s="47"/>
      <c r="AG101" s="48"/>
      <c r="AH101" s="69">
        <v>1288.45</v>
      </c>
      <c r="AI101" s="47"/>
      <c r="AJ101" s="47"/>
      <c r="AK101" s="47"/>
      <c r="AL101" s="48"/>
      <c r="AM101" s="91"/>
      <c r="AN101" s="47"/>
      <c r="AO101" s="47"/>
      <c r="AP101" s="47"/>
      <c r="AQ101" s="48"/>
      <c r="AR101" s="87"/>
      <c r="AS101" s="47"/>
      <c r="AT101" s="47"/>
      <c r="AU101" s="47"/>
      <c r="AV101" s="47"/>
      <c r="AW101" s="79"/>
      <c r="AX101" s="47"/>
      <c r="AY101" s="47"/>
      <c r="AZ101" s="47"/>
      <c r="BA101" s="48"/>
      <c r="BB101" s="80"/>
      <c r="BC101" s="47"/>
      <c r="BD101" s="47"/>
      <c r="BE101" s="47"/>
      <c r="BF101" s="47"/>
      <c r="BG101" s="81"/>
      <c r="BH101" s="47"/>
      <c r="BI101" s="47"/>
      <c r="BJ101" s="47"/>
      <c r="BK101" s="56"/>
    </row>
    <row r="102" ht="21.0" customHeight="1">
      <c r="A102" s="78"/>
      <c r="B102" s="44" t="s">
        <v>129</v>
      </c>
      <c r="C102" s="44" t="s">
        <v>96</v>
      </c>
      <c r="D102" s="102">
        <v>45033.0</v>
      </c>
      <c r="E102" s="45">
        <v>45036.0</v>
      </c>
      <c r="F102" s="44" t="s">
        <v>97</v>
      </c>
      <c r="G102" s="44" t="s">
        <v>26</v>
      </c>
      <c r="H102" s="57" t="s">
        <v>21</v>
      </c>
      <c r="I102" s="50"/>
      <c r="J102" s="47"/>
      <c r="K102" s="47"/>
      <c r="L102" s="47"/>
      <c r="M102" s="48"/>
      <c r="N102" s="51"/>
      <c r="O102" s="47"/>
      <c r="P102" s="47"/>
      <c r="Q102" s="47"/>
      <c r="R102" s="48"/>
      <c r="S102" s="50"/>
      <c r="T102" s="47"/>
      <c r="U102" s="47"/>
      <c r="V102" s="47"/>
      <c r="W102" s="48"/>
      <c r="X102" s="61"/>
      <c r="Y102" s="47"/>
      <c r="Z102" s="47"/>
      <c r="AA102" s="47"/>
      <c r="AB102" s="48"/>
      <c r="AC102" s="46">
        <v>1445.68</v>
      </c>
      <c r="AD102" s="47"/>
      <c r="AE102" s="47"/>
      <c r="AF102" s="47"/>
      <c r="AG102" s="48"/>
      <c r="AH102" s="69">
        <v>1262.48</v>
      </c>
      <c r="AI102" s="47"/>
      <c r="AJ102" s="47"/>
      <c r="AK102" s="47"/>
      <c r="AL102" s="48"/>
      <c r="AM102" s="91"/>
      <c r="AN102" s="47"/>
      <c r="AO102" s="47"/>
      <c r="AP102" s="47"/>
      <c r="AQ102" s="48"/>
      <c r="AR102" s="87"/>
      <c r="AS102" s="47"/>
      <c r="AT102" s="47"/>
      <c r="AU102" s="47"/>
      <c r="AV102" s="47"/>
      <c r="AW102" s="79"/>
      <c r="AX102" s="47"/>
      <c r="AY102" s="47"/>
      <c r="AZ102" s="47"/>
      <c r="BA102" s="48"/>
      <c r="BB102" s="80"/>
      <c r="BC102" s="47"/>
      <c r="BD102" s="47"/>
      <c r="BE102" s="47"/>
      <c r="BF102" s="47"/>
      <c r="BG102" s="81"/>
      <c r="BH102" s="47"/>
      <c r="BI102" s="47"/>
      <c r="BJ102" s="47"/>
      <c r="BK102" s="56"/>
    </row>
    <row r="103" ht="21.0" customHeight="1">
      <c r="A103" s="78"/>
      <c r="B103" s="44" t="s">
        <v>51</v>
      </c>
      <c r="C103" s="44" t="s">
        <v>96</v>
      </c>
      <c r="D103" s="45">
        <v>45032.0</v>
      </c>
      <c r="E103" s="45">
        <v>45036.0</v>
      </c>
      <c r="F103" s="44" t="s">
        <v>97</v>
      </c>
      <c r="G103" s="44" t="s">
        <v>26</v>
      </c>
      <c r="H103" s="57" t="s">
        <v>21</v>
      </c>
      <c r="I103" s="50"/>
      <c r="J103" s="47"/>
      <c r="K103" s="47"/>
      <c r="L103" s="47"/>
      <c r="M103" s="48"/>
      <c r="N103" s="61"/>
      <c r="O103" s="47"/>
      <c r="P103" s="47"/>
      <c r="Q103" s="47"/>
      <c r="R103" s="48"/>
      <c r="S103" s="50"/>
      <c r="T103" s="47"/>
      <c r="U103" s="47"/>
      <c r="V103" s="47"/>
      <c r="W103" s="48"/>
      <c r="X103" s="51"/>
      <c r="Y103" s="47"/>
      <c r="Z103" s="47"/>
      <c r="AA103" s="47"/>
      <c r="AB103" s="48"/>
      <c r="AC103" s="46">
        <v>2284.27</v>
      </c>
      <c r="AD103" s="47"/>
      <c r="AE103" s="47"/>
      <c r="AF103" s="47"/>
      <c r="AG103" s="48"/>
      <c r="AH103" s="69">
        <v>2175.83</v>
      </c>
      <c r="AI103" s="47"/>
      <c r="AJ103" s="47"/>
      <c r="AK103" s="47"/>
      <c r="AL103" s="48"/>
      <c r="AM103" s="91"/>
      <c r="AN103" s="47"/>
      <c r="AO103" s="47"/>
      <c r="AP103" s="47"/>
      <c r="AQ103" s="48"/>
      <c r="AR103" s="87"/>
      <c r="AS103" s="47"/>
      <c r="AT103" s="47"/>
      <c r="AU103" s="47"/>
      <c r="AV103" s="47"/>
      <c r="AW103" s="79"/>
      <c r="AX103" s="47"/>
      <c r="AY103" s="47"/>
      <c r="AZ103" s="47"/>
      <c r="BA103" s="48"/>
      <c r="BB103" s="80"/>
      <c r="BC103" s="47"/>
      <c r="BD103" s="47"/>
      <c r="BE103" s="47"/>
      <c r="BF103" s="47"/>
      <c r="BG103" s="81"/>
      <c r="BH103" s="47"/>
      <c r="BI103" s="47"/>
      <c r="BJ103" s="47"/>
      <c r="BK103" s="56"/>
    </row>
    <row r="104" ht="21.0" customHeight="1">
      <c r="A104" s="78"/>
      <c r="B104" s="44" t="s">
        <v>146</v>
      </c>
      <c r="C104" s="44" t="s">
        <v>245</v>
      </c>
      <c r="D104" s="45">
        <v>45020.0</v>
      </c>
      <c r="E104" s="45">
        <v>45022.0</v>
      </c>
      <c r="F104" s="44" t="s">
        <v>30</v>
      </c>
      <c r="G104" s="44" t="s">
        <v>59</v>
      </c>
      <c r="H104" s="57" t="s">
        <v>27</v>
      </c>
      <c r="I104" s="50"/>
      <c r="J104" s="47"/>
      <c r="K104" s="47"/>
      <c r="L104" s="47"/>
      <c r="M104" s="48"/>
      <c r="N104" s="51"/>
      <c r="O104" s="47"/>
      <c r="P104" s="47"/>
      <c r="Q104" s="47"/>
      <c r="R104" s="48"/>
      <c r="S104" s="50"/>
      <c r="T104" s="47"/>
      <c r="U104" s="47"/>
      <c r="V104" s="47"/>
      <c r="W104" s="48"/>
      <c r="X104" s="61"/>
      <c r="Y104" s="47"/>
      <c r="Z104" s="47"/>
      <c r="AA104" s="47"/>
      <c r="AB104" s="48"/>
      <c r="AC104" s="46">
        <v>700.12</v>
      </c>
      <c r="AD104" s="47"/>
      <c r="AE104" s="47"/>
      <c r="AF104" s="47"/>
      <c r="AG104" s="48"/>
      <c r="AH104" s="69">
        <v>671.42</v>
      </c>
      <c r="AI104" s="47"/>
      <c r="AJ104" s="47"/>
      <c r="AK104" s="47"/>
      <c r="AL104" s="48"/>
      <c r="AM104" s="91"/>
      <c r="AN104" s="47"/>
      <c r="AO104" s="47"/>
      <c r="AP104" s="47"/>
      <c r="AQ104" s="48"/>
      <c r="AR104" s="87"/>
      <c r="AS104" s="47"/>
      <c r="AT104" s="47"/>
      <c r="AU104" s="47"/>
      <c r="AV104" s="47"/>
      <c r="AW104" s="79"/>
      <c r="AX104" s="47"/>
      <c r="AY104" s="47"/>
      <c r="AZ104" s="47"/>
      <c r="BA104" s="48"/>
      <c r="BB104" s="80"/>
      <c r="BC104" s="47"/>
      <c r="BD104" s="47"/>
      <c r="BE104" s="47"/>
      <c r="BF104" s="47"/>
      <c r="BG104" s="81"/>
      <c r="BH104" s="47"/>
      <c r="BI104" s="47"/>
      <c r="BJ104" s="47"/>
      <c r="BK104" s="56"/>
    </row>
    <row r="105" ht="21.0" customHeight="1">
      <c r="A105" s="78"/>
      <c r="B105" s="44" t="s">
        <v>235</v>
      </c>
      <c r="C105" s="44" t="s">
        <v>231</v>
      </c>
      <c r="D105" s="45">
        <v>45021.0</v>
      </c>
      <c r="E105" s="45">
        <v>45030.0</v>
      </c>
      <c r="F105" s="44" t="s">
        <v>30</v>
      </c>
      <c r="G105" s="44" t="s">
        <v>59</v>
      </c>
      <c r="H105" s="44" t="s">
        <v>27</v>
      </c>
      <c r="I105" s="132"/>
      <c r="J105" s="47"/>
      <c r="K105" s="47"/>
      <c r="L105" s="47"/>
      <c r="M105" s="48"/>
      <c r="N105" s="61"/>
      <c r="O105" s="47"/>
      <c r="P105" s="47"/>
      <c r="Q105" s="47"/>
      <c r="R105" s="48"/>
      <c r="S105" s="50"/>
      <c r="T105" s="47"/>
      <c r="U105" s="47"/>
      <c r="V105" s="47"/>
      <c r="W105" s="48"/>
      <c r="X105" s="52"/>
      <c r="Y105" s="47"/>
      <c r="Z105" s="47"/>
      <c r="AA105" s="47"/>
      <c r="AB105" s="48"/>
      <c r="AC105" s="46">
        <v>1510.47</v>
      </c>
      <c r="AD105" s="47"/>
      <c r="AE105" s="47"/>
      <c r="AF105" s="47"/>
      <c r="AG105" s="48"/>
      <c r="AH105" s="82">
        <v>1875.08</v>
      </c>
      <c r="AI105" s="47"/>
      <c r="AJ105" s="47"/>
      <c r="AK105" s="47"/>
      <c r="AL105" s="48"/>
      <c r="AM105" s="91"/>
      <c r="AN105" s="47"/>
      <c r="AO105" s="47"/>
      <c r="AP105" s="47"/>
      <c r="AQ105" s="48"/>
      <c r="AR105" s="87"/>
      <c r="AS105" s="47"/>
      <c r="AT105" s="47"/>
      <c r="AU105" s="47"/>
      <c r="AV105" s="47"/>
      <c r="AW105" s="79"/>
      <c r="AX105" s="47"/>
      <c r="AY105" s="47"/>
      <c r="AZ105" s="47"/>
      <c r="BA105" s="48"/>
      <c r="BB105" s="80"/>
      <c r="BC105" s="47"/>
      <c r="BD105" s="47"/>
      <c r="BE105" s="47"/>
      <c r="BF105" s="47"/>
      <c r="BG105" s="81"/>
      <c r="BH105" s="47"/>
      <c r="BI105" s="47"/>
      <c r="BJ105" s="47"/>
      <c r="BK105" s="56"/>
    </row>
    <row r="106" ht="21.0" customHeight="1">
      <c r="A106" s="78"/>
      <c r="B106" s="44" t="s">
        <v>211</v>
      </c>
      <c r="C106" s="44" t="s">
        <v>297</v>
      </c>
      <c r="D106" s="45">
        <v>45033.0</v>
      </c>
      <c r="E106" s="45">
        <v>45037.0</v>
      </c>
      <c r="F106" s="44" t="s">
        <v>36</v>
      </c>
      <c r="G106" s="44" t="s">
        <v>195</v>
      </c>
      <c r="H106" s="44" t="s">
        <v>27</v>
      </c>
      <c r="I106" s="60"/>
      <c r="J106" s="47"/>
      <c r="K106" s="47"/>
      <c r="L106" s="47"/>
      <c r="M106" s="48"/>
      <c r="N106" s="61"/>
      <c r="O106" s="47"/>
      <c r="P106" s="47"/>
      <c r="Q106" s="47"/>
      <c r="R106" s="48"/>
      <c r="S106" s="50"/>
      <c r="T106" s="47"/>
      <c r="U106" s="47"/>
      <c r="V106" s="47"/>
      <c r="W106" s="48"/>
      <c r="X106" s="52"/>
      <c r="Y106" s="47"/>
      <c r="Z106" s="47"/>
      <c r="AA106" s="47"/>
      <c r="AB106" s="48"/>
      <c r="AC106" s="46">
        <v>1748.47</v>
      </c>
      <c r="AD106" s="47"/>
      <c r="AE106" s="47"/>
      <c r="AF106" s="47"/>
      <c r="AG106" s="48"/>
      <c r="AH106" s="105">
        <v>2008.16</v>
      </c>
      <c r="AI106" s="47"/>
      <c r="AJ106" s="47"/>
      <c r="AK106" s="47"/>
      <c r="AL106" s="48"/>
      <c r="AM106" s="91"/>
      <c r="AN106" s="47"/>
      <c r="AO106" s="47"/>
      <c r="AP106" s="47"/>
      <c r="AQ106" s="48"/>
      <c r="AR106" s="87"/>
      <c r="AS106" s="47"/>
      <c r="AT106" s="47"/>
      <c r="AU106" s="47"/>
      <c r="AV106" s="47"/>
      <c r="AW106" s="79"/>
      <c r="AX106" s="47"/>
      <c r="AY106" s="47"/>
      <c r="AZ106" s="47"/>
      <c r="BA106" s="48"/>
      <c r="BB106" s="80"/>
      <c r="BC106" s="47"/>
      <c r="BD106" s="47"/>
      <c r="BE106" s="47"/>
      <c r="BF106" s="47"/>
      <c r="BG106" s="81"/>
      <c r="BH106" s="47"/>
      <c r="BI106" s="47"/>
      <c r="BJ106" s="47"/>
      <c r="BK106" s="56"/>
    </row>
    <row r="107" ht="21.0" customHeight="1">
      <c r="A107" s="78"/>
      <c r="B107" s="44" t="s">
        <v>144</v>
      </c>
      <c r="C107" s="44" t="s">
        <v>168</v>
      </c>
      <c r="D107" s="45">
        <v>45030.0</v>
      </c>
      <c r="E107" s="45">
        <v>45035.0</v>
      </c>
      <c r="F107" s="44" t="s">
        <v>192</v>
      </c>
      <c r="G107" s="44" t="s">
        <v>26</v>
      </c>
      <c r="H107" s="44" t="s">
        <v>27</v>
      </c>
      <c r="I107" s="60"/>
      <c r="J107" s="47"/>
      <c r="K107" s="47"/>
      <c r="L107" s="47"/>
      <c r="M107" s="48"/>
      <c r="N107" s="61"/>
      <c r="O107" s="47"/>
      <c r="P107" s="47"/>
      <c r="Q107" s="47"/>
      <c r="R107" s="47"/>
      <c r="S107" s="50"/>
      <c r="T107" s="47"/>
      <c r="U107" s="47"/>
      <c r="V107" s="47"/>
      <c r="W107" s="48"/>
      <c r="X107" s="61"/>
      <c r="Y107" s="47"/>
      <c r="Z107" s="47"/>
      <c r="AA107" s="47"/>
      <c r="AB107" s="48"/>
      <c r="AC107" s="46">
        <v>3170.0</v>
      </c>
      <c r="AD107" s="47"/>
      <c r="AE107" s="47"/>
      <c r="AF107" s="47"/>
      <c r="AG107" s="48"/>
      <c r="AH107" s="69">
        <v>2200.76</v>
      </c>
      <c r="AI107" s="47"/>
      <c r="AJ107" s="47"/>
      <c r="AK107" s="47"/>
      <c r="AL107" s="48"/>
      <c r="AM107" s="91"/>
      <c r="AN107" s="47"/>
      <c r="AO107" s="47"/>
      <c r="AP107" s="47"/>
      <c r="AQ107" s="48"/>
      <c r="AR107" s="87"/>
      <c r="AS107" s="47"/>
      <c r="AT107" s="47"/>
      <c r="AU107" s="47"/>
      <c r="AV107" s="47"/>
      <c r="AW107" s="79"/>
      <c r="AX107" s="47"/>
      <c r="AY107" s="47"/>
      <c r="AZ107" s="47"/>
      <c r="BA107" s="48"/>
      <c r="BB107" s="80"/>
      <c r="BC107" s="47"/>
      <c r="BD107" s="47"/>
      <c r="BE107" s="47"/>
      <c r="BF107" s="47"/>
      <c r="BG107" s="81"/>
      <c r="BH107" s="47"/>
      <c r="BI107" s="47"/>
      <c r="BJ107" s="47"/>
      <c r="BK107" s="56"/>
    </row>
    <row r="108" ht="21.0" customHeight="1">
      <c r="A108" s="78"/>
      <c r="B108" s="119" t="s">
        <v>132</v>
      </c>
      <c r="C108" s="119" t="s">
        <v>289</v>
      </c>
      <c r="D108" s="120">
        <v>45033.0</v>
      </c>
      <c r="E108" s="120">
        <v>45035.0</v>
      </c>
      <c r="F108" s="119" t="s">
        <v>290</v>
      </c>
      <c r="G108" s="119" t="s">
        <v>26</v>
      </c>
      <c r="H108" s="121" t="s">
        <v>21</v>
      </c>
      <c r="I108" s="60"/>
      <c r="J108" s="47"/>
      <c r="K108" s="47"/>
      <c r="L108" s="47"/>
      <c r="M108" s="48"/>
      <c r="N108" s="61"/>
      <c r="O108" s="47"/>
      <c r="P108" s="47"/>
      <c r="Q108" s="47"/>
      <c r="R108" s="48"/>
      <c r="S108" s="50"/>
      <c r="T108" s="47"/>
      <c r="U108" s="47"/>
      <c r="V108" s="47"/>
      <c r="W108" s="48"/>
      <c r="X108" s="52"/>
      <c r="Y108" s="47"/>
      <c r="Z108" s="47"/>
      <c r="AA108" s="47"/>
      <c r="AB108" s="48"/>
      <c r="AC108" s="46">
        <v>738.78</v>
      </c>
      <c r="AD108" s="47"/>
      <c r="AE108" s="47"/>
      <c r="AF108" s="47"/>
      <c r="AG108" s="48"/>
      <c r="AH108" s="69" t="s">
        <v>56</v>
      </c>
      <c r="AI108" s="47"/>
      <c r="AJ108" s="47"/>
      <c r="AK108" s="47"/>
      <c r="AL108" s="48"/>
      <c r="AM108" s="91"/>
      <c r="AN108" s="47"/>
      <c r="AO108" s="47"/>
      <c r="AP108" s="47"/>
      <c r="AQ108" s="48"/>
      <c r="AR108" s="87"/>
      <c r="AS108" s="47"/>
      <c r="AT108" s="47"/>
      <c r="AU108" s="47"/>
      <c r="AV108" s="47"/>
      <c r="AW108" s="79"/>
      <c r="AX108" s="47"/>
      <c r="AY108" s="47"/>
      <c r="AZ108" s="47"/>
      <c r="BA108" s="48"/>
      <c r="BB108" s="80"/>
      <c r="BC108" s="47"/>
      <c r="BD108" s="47"/>
      <c r="BE108" s="47"/>
      <c r="BF108" s="47"/>
      <c r="BG108" s="81"/>
      <c r="BH108" s="47"/>
      <c r="BI108" s="47"/>
      <c r="BJ108" s="47"/>
      <c r="BK108" s="56"/>
    </row>
    <row r="109" ht="21.0" customHeight="1">
      <c r="A109" s="78"/>
      <c r="B109" s="44" t="s">
        <v>230</v>
      </c>
      <c r="C109" s="44" t="s">
        <v>231</v>
      </c>
      <c r="D109" s="45">
        <v>45026.0</v>
      </c>
      <c r="E109" s="45">
        <v>45031.0</v>
      </c>
      <c r="F109" s="44" t="s">
        <v>30</v>
      </c>
      <c r="G109" s="44" t="s">
        <v>59</v>
      </c>
      <c r="H109" s="44" t="s">
        <v>27</v>
      </c>
      <c r="I109" s="132"/>
      <c r="J109" s="47"/>
      <c r="K109" s="47"/>
      <c r="L109" s="47"/>
      <c r="M109" s="48"/>
      <c r="N109" s="61"/>
      <c r="O109" s="47"/>
      <c r="P109" s="47"/>
      <c r="Q109" s="47"/>
      <c r="R109" s="48"/>
      <c r="S109" s="50"/>
      <c r="T109" s="47"/>
      <c r="U109" s="47"/>
      <c r="V109" s="47"/>
      <c r="W109" s="48"/>
      <c r="X109" s="52"/>
      <c r="Y109" s="47"/>
      <c r="Z109" s="47"/>
      <c r="AA109" s="47"/>
      <c r="AB109" s="48"/>
      <c r="AC109" s="46">
        <v>2340.22</v>
      </c>
      <c r="AD109" s="47"/>
      <c r="AE109" s="47"/>
      <c r="AF109" s="47"/>
      <c r="AG109" s="48"/>
      <c r="AH109" s="82">
        <v>1959.12</v>
      </c>
      <c r="AI109" s="47"/>
      <c r="AJ109" s="47"/>
      <c r="AK109" s="47"/>
      <c r="AL109" s="48"/>
      <c r="AM109" s="91"/>
      <c r="AN109" s="47"/>
      <c r="AO109" s="47"/>
      <c r="AP109" s="47"/>
      <c r="AQ109" s="48"/>
      <c r="AR109" s="87"/>
      <c r="AS109" s="47"/>
      <c r="AT109" s="47"/>
      <c r="AU109" s="47"/>
      <c r="AV109" s="47"/>
      <c r="AW109" s="79"/>
      <c r="AX109" s="47"/>
      <c r="AY109" s="47"/>
      <c r="AZ109" s="47"/>
      <c r="BA109" s="48"/>
      <c r="BB109" s="80"/>
      <c r="BC109" s="47"/>
      <c r="BD109" s="47"/>
      <c r="BE109" s="47"/>
      <c r="BF109" s="47"/>
      <c r="BG109" s="81"/>
      <c r="BH109" s="47"/>
      <c r="BI109" s="47"/>
      <c r="BJ109" s="47"/>
      <c r="BK109" s="56"/>
    </row>
    <row r="110" ht="21.0" customHeight="1">
      <c r="A110" s="78"/>
      <c r="B110" s="44" t="s">
        <v>118</v>
      </c>
      <c r="C110" s="44" t="s">
        <v>181</v>
      </c>
      <c r="D110" s="45">
        <v>45029.0</v>
      </c>
      <c r="E110" s="45">
        <v>45038.0</v>
      </c>
      <c r="F110" s="44" t="s">
        <v>182</v>
      </c>
      <c r="G110" s="44" t="s">
        <v>48</v>
      </c>
      <c r="H110" s="44" t="s">
        <v>49</v>
      </c>
      <c r="I110" s="60"/>
      <c r="J110" s="47"/>
      <c r="K110" s="47"/>
      <c r="L110" s="47"/>
      <c r="M110" s="48"/>
      <c r="N110" s="61"/>
      <c r="O110" s="47"/>
      <c r="P110" s="47"/>
      <c r="Q110" s="47"/>
      <c r="R110" s="47"/>
      <c r="S110" s="50"/>
      <c r="T110" s="47"/>
      <c r="U110" s="47"/>
      <c r="V110" s="47"/>
      <c r="W110" s="48"/>
      <c r="X110" s="61"/>
      <c r="Y110" s="47"/>
      <c r="Z110" s="47"/>
      <c r="AA110" s="47"/>
      <c r="AB110" s="48"/>
      <c r="AC110" s="46">
        <v>4220.92</v>
      </c>
      <c r="AD110" s="47"/>
      <c r="AE110" s="47"/>
      <c r="AF110" s="47"/>
      <c r="AG110" s="48"/>
      <c r="AH110" s="69">
        <v>5035.79</v>
      </c>
      <c r="AI110" s="47"/>
      <c r="AJ110" s="47"/>
      <c r="AK110" s="47"/>
      <c r="AL110" s="48"/>
      <c r="AM110" s="91"/>
      <c r="AN110" s="47"/>
      <c r="AO110" s="47"/>
      <c r="AP110" s="47"/>
      <c r="AQ110" s="48"/>
      <c r="AR110" s="87"/>
      <c r="AS110" s="47"/>
      <c r="AT110" s="47"/>
      <c r="AU110" s="47"/>
      <c r="AV110" s="47"/>
      <c r="AW110" s="79"/>
      <c r="AX110" s="47"/>
      <c r="AY110" s="47"/>
      <c r="AZ110" s="47"/>
      <c r="BA110" s="48"/>
      <c r="BB110" s="80"/>
      <c r="BC110" s="47"/>
      <c r="BD110" s="47"/>
      <c r="BE110" s="47"/>
      <c r="BF110" s="47"/>
      <c r="BG110" s="81"/>
      <c r="BH110" s="47"/>
      <c r="BI110" s="47"/>
      <c r="BJ110" s="47"/>
      <c r="BK110" s="56"/>
    </row>
    <row r="111" ht="21.0" customHeight="1">
      <c r="A111" s="78"/>
      <c r="B111" s="44" t="s">
        <v>173</v>
      </c>
      <c r="C111" s="44" t="s">
        <v>184</v>
      </c>
      <c r="D111" s="45">
        <v>45035.0</v>
      </c>
      <c r="E111" s="45">
        <v>45038.0</v>
      </c>
      <c r="F111" s="44" t="s">
        <v>174</v>
      </c>
      <c r="G111" s="44" t="s">
        <v>26</v>
      </c>
      <c r="H111" s="57" t="s">
        <v>27</v>
      </c>
      <c r="I111" s="60"/>
      <c r="J111" s="47"/>
      <c r="K111" s="47"/>
      <c r="L111" s="47"/>
      <c r="M111" s="48"/>
      <c r="N111" s="61"/>
      <c r="O111" s="47"/>
      <c r="P111" s="47"/>
      <c r="Q111" s="47"/>
      <c r="R111" s="47"/>
      <c r="S111" s="50"/>
      <c r="T111" s="47"/>
      <c r="U111" s="47"/>
      <c r="V111" s="47"/>
      <c r="W111" s="48"/>
      <c r="X111" s="61"/>
      <c r="Y111" s="47"/>
      <c r="Z111" s="47"/>
      <c r="AA111" s="47"/>
      <c r="AB111" s="48"/>
      <c r="AC111" s="46">
        <v>2034.5</v>
      </c>
      <c r="AD111" s="47"/>
      <c r="AE111" s="47"/>
      <c r="AF111" s="47"/>
      <c r="AG111" s="48"/>
      <c r="AH111" s="69">
        <v>1319.5</v>
      </c>
      <c r="AI111" s="47"/>
      <c r="AJ111" s="47"/>
      <c r="AK111" s="47"/>
      <c r="AL111" s="48"/>
      <c r="AM111" s="91"/>
      <c r="AN111" s="47"/>
      <c r="AO111" s="47"/>
      <c r="AP111" s="47"/>
      <c r="AQ111" s="48"/>
      <c r="AR111" s="87"/>
      <c r="AS111" s="47"/>
      <c r="AT111" s="47"/>
      <c r="AU111" s="47"/>
      <c r="AV111" s="47"/>
      <c r="AW111" s="79"/>
      <c r="AX111" s="47"/>
      <c r="AY111" s="47"/>
      <c r="AZ111" s="47"/>
      <c r="BA111" s="48"/>
      <c r="BB111" s="80"/>
      <c r="BC111" s="47"/>
      <c r="BD111" s="47"/>
      <c r="BE111" s="47"/>
      <c r="BF111" s="47"/>
      <c r="BG111" s="81"/>
      <c r="BH111" s="47"/>
      <c r="BI111" s="47"/>
      <c r="BJ111" s="47"/>
      <c r="BK111" s="56"/>
    </row>
    <row r="112" ht="21.0" customHeight="1">
      <c r="A112" s="78"/>
      <c r="B112" s="44" t="s">
        <v>185</v>
      </c>
      <c r="C112" s="44" t="s">
        <v>311</v>
      </c>
      <c r="D112" s="45">
        <v>45046.0</v>
      </c>
      <c r="E112" s="45">
        <v>45051.0</v>
      </c>
      <c r="F112" s="44" t="s">
        <v>312</v>
      </c>
      <c r="G112" s="44" t="s">
        <v>187</v>
      </c>
      <c r="H112" s="44" t="s">
        <v>27</v>
      </c>
      <c r="I112" s="60"/>
      <c r="J112" s="47"/>
      <c r="K112" s="47"/>
      <c r="L112" s="47"/>
      <c r="M112" s="48"/>
      <c r="N112" s="61"/>
      <c r="O112" s="47"/>
      <c r="P112" s="47"/>
      <c r="Q112" s="47"/>
      <c r="R112" s="48"/>
      <c r="S112" s="50"/>
      <c r="T112" s="47"/>
      <c r="U112" s="47"/>
      <c r="V112" s="47"/>
      <c r="W112" s="48"/>
      <c r="X112" s="52"/>
      <c r="Y112" s="47"/>
      <c r="Z112" s="47"/>
      <c r="AA112" s="47"/>
      <c r="AB112" s="48"/>
      <c r="AC112" s="46">
        <v>3614.74</v>
      </c>
      <c r="AD112" s="47"/>
      <c r="AE112" s="47"/>
      <c r="AF112" s="47"/>
      <c r="AG112" s="48"/>
      <c r="AH112" s="105">
        <v>2632.22</v>
      </c>
      <c r="AI112" s="47"/>
      <c r="AJ112" s="47"/>
      <c r="AK112" s="47"/>
      <c r="AL112" s="48"/>
      <c r="AM112" s="91"/>
      <c r="AN112" s="47"/>
      <c r="AO112" s="47"/>
      <c r="AP112" s="47"/>
      <c r="AQ112" s="48"/>
      <c r="AR112" s="87"/>
      <c r="AS112" s="47"/>
      <c r="AT112" s="47"/>
      <c r="AU112" s="47"/>
      <c r="AV112" s="47"/>
      <c r="AW112" s="79"/>
      <c r="AX112" s="47"/>
      <c r="AY112" s="47"/>
      <c r="AZ112" s="47"/>
      <c r="BA112" s="48"/>
      <c r="BB112" s="80"/>
      <c r="BC112" s="47"/>
      <c r="BD112" s="47"/>
      <c r="BE112" s="47"/>
      <c r="BF112" s="47"/>
      <c r="BG112" s="81"/>
      <c r="BH112" s="47"/>
      <c r="BI112" s="47"/>
      <c r="BJ112" s="47"/>
      <c r="BK112" s="56"/>
    </row>
    <row r="113" ht="21.0" customHeight="1">
      <c r="A113" s="78"/>
      <c r="B113" s="44" t="s">
        <v>315</v>
      </c>
      <c r="C113" s="44" t="s">
        <v>311</v>
      </c>
      <c r="D113" s="45">
        <v>45046.0</v>
      </c>
      <c r="E113" s="45">
        <v>45051.0</v>
      </c>
      <c r="F113" s="44" t="s">
        <v>312</v>
      </c>
      <c r="G113" s="44" t="s">
        <v>187</v>
      </c>
      <c r="H113" s="44" t="s">
        <v>27</v>
      </c>
      <c r="I113" s="60"/>
      <c r="J113" s="47"/>
      <c r="K113" s="47"/>
      <c r="L113" s="47"/>
      <c r="M113" s="48"/>
      <c r="N113" s="61"/>
      <c r="O113" s="47"/>
      <c r="P113" s="47"/>
      <c r="Q113" s="47"/>
      <c r="R113" s="48"/>
      <c r="S113" s="50"/>
      <c r="T113" s="47"/>
      <c r="U113" s="47"/>
      <c r="V113" s="47"/>
      <c r="W113" s="48"/>
      <c r="X113" s="52"/>
      <c r="Y113" s="47"/>
      <c r="Z113" s="47"/>
      <c r="AA113" s="47"/>
      <c r="AB113" s="48"/>
      <c r="AC113" s="46">
        <v>2900.5</v>
      </c>
      <c r="AD113" s="47"/>
      <c r="AE113" s="47"/>
      <c r="AF113" s="47"/>
      <c r="AG113" s="48"/>
      <c r="AH113" s="105">
        <v>2896.6</v>
      </c>
      <c r="AI113" s="47"/>
      <c r="AJ113" s="47"/>
      <c r="AK113" s="47"/>
      <c r="AL113" s="48"/>
      <c r="AM113" s="91"/>
      <c r="AN113" s="47"/>
      <c r="AO113" s="47"/>
      <c r="AP113" s="47"/>
      <c r="AQ113" s="48"/>
      <c r="AR113" s="87"/>
      <c r="AS113" s="47"/>
      <c r="AT113" s="47"/>
      <c r="AU113" s="47"/>
      <c r="AV113" s="47"/>
      <c r="AW113" s="79"/>
      <c r="AX113" s="47"/>
      <c r="AY113" s="47"/>
      <c r="AZ113" s="47"/>
      <c r="BA113" s="48"/>
      <c r="BB113" s="80"/>
      <c r="BC113" s="47"/>
      <c r="BD113" s="47"/>
      <c r="BE113" s="47"/>
      <c r="BF113" s="47"/>
      <c r="BG113" s="81"/>
      <c r="BH113" s="47"/>
      <c r="BI113" s="47"/>
      <c r="BJ113" s="47"/>
      <c r="BK113" s="56"/>
    </row>
    <row r="114" ht="21.0" customHeight="1">
      <c r="A114" s="78"/>
      <c r="B114" s="44" t="s">
        <v>200</v>
      </c>
      <c r="C114" s="44" t="s">
        <v>311</v>
      </c>
      <c r="D114" s="45">
        <v>45046.0</v>
      </c>
      <c r="E114" s="45">
        <v>45050.0</v>
      </c>
      <c r="F114" s="44" t="s">
        <v>312</v>
      </c>
      <c r="G114" s="44" t="s">
        <v>187</v>
      </c>
      <c r="H114" s="44" t="s">
        <v>27</v>
      </c>
      <c r="I114" s="60"/>
      <c r="J114" s="47"/>
      <c r="K114" s="47"/>
      <c r="L114" s="47"/>
      <c r="M114" s="48"/>
      <c r="N114" s="61"/>
      <c r="O114" s="47"/>
      <c r="P114" s="47"/>
      <c r="Q114" s="47"/>
      <c r="R114" s="48"/>
      <c r="S114" s="50"/>
      <c r="T114" s="47"/>
      <c r="U114" s="47"/>
      <c r="V114" s="47"/>
      <c r="W114" s="48"/>
      <c r="X114" s="52"/>
      <c r="Y114" s="47"/>
      <c r="Z114" s="47"/>
      <c r="AA114" s="47"/>
      <c r="AB114" s="48"/>
      <c r="AC114" s="46">
        <v>2557.32</v>
      </c>
      <c r="AD114" s="47"/>
      <c r="AE114" s="47"/>
      <c r="AF114" s="47"/>
      <c r="AG114" s="48"/>
      <c r="AH114" s="105">
        <v>2698.55</v>
      </c>
      <c r="AI114" s="47"/>
      <c r="AJ114" s="47"/>
      <c r="AK114" s="47"/>
      <c r="AL114" s="48"/>
      <c r="AM114" s="91"/>
      <c r="AN114" s="47"/>
      <c r="AO114" s="47"/>
      <c r="AP114" s="47"/>
      <c r="AQ114" s="48"/>
      <c r="AR114" s="87"/>
      <c r="AS114" s="47"/>
      <c r="AT114" s="47"/>
      <c r="AU114" s="47"/>
      <c r="AV114" s="47"/>
      <c r="AW114" s="79"/>
      <c r="AX114" s="47"/>
      <c r="AY114" s="47"/>
      <c r="AZ114" s="47"/>
      <c r="BA114" s="48"/>
      <c r="BB114" s="80"/>
      <c r="BC114" s="47"/>
      <c r="BD114" s="47"/>
      <c r="BE114" s="47"/>
      <c r="BF114" s="47"/>
      <c r="BG114" s="81"/>
      <c r="BH114" s="47"/>
      <c r="BI114" s="47"/>
      <c r="BJ114" s="47"/>
      <c r="BK114" s="56"/>
    </row>
    <row r="115" ht="21.0" customHeight="1">
      <c r="A115" s="78"/>
      <c r="B115" s="44" t="s">
        <v>23</v>
      </c>
      <c r="C115" s="44" t="s">
        <v>29</v>
      </c>
      <c r="D115" s="45">
        <v>45047.0</v>
      </c>
      <c r="E115" s="45">
        <v>45050.0</v>
      </c>
      <c r="F115" s="44" t="s">
        <v>50</v>
      </c>
      <c r="G115" s="44" t="s">
        <v>26</v>
      </c>
      <c r="H115" s="44" t="s">
        <v>21</v>
      </c>
      <c r="I115" s="60"/>
      <c r="J115" s="47"/>
      <c r="K115" s="47"/>
      <c r="L115" s="47"/>
      <c r="M115" s="48"/>
      <c r="N115" s="61"/>
      <c r="O115" s="47"/>
      <c r="P115" s="47"/>
      <c r="Q115" s="47"/>
      <c r="R115" s="48"/>
      <c r="S115" s="50"/>
      <c r="T115" s="47"/>
      <c r="U115" s="47"/>
      <c r="V115" s="47"/>
      <c r="W115" s="48"/>
      <c r="X115" s="51"/>
      <c r="Y115" s="47"/>
      <c r="Z115" s="47"/>
      <c r="AA115" s="47"/>
      <c r="AB115" s="48"/>
      <c r="AC115" s="46">
        <v>1057.67</v>
      </c>
      <c r="AD115" s="47"/>
      <c r="AE115" s="47"/>
      <c r="AF115" s="47"/>
      <c r="AG115" s="48"/>
      <c r="AH115" s="49">
        <v>1094.75</v>
      </c>
      <c r="AI115" s="47"/>
      <c r="AJ115" s="47"/>
      <c r="AK115" s="47"/>
      <c r="AL115" s="48"/>
      <c r="AM115" s="91"/>
      <c r="AN115" s="47"/>
      <c r="AO115" s="47"/>
      <c r="AP115" s="47"/>
      <c r="AQ115" s="48"/>
      <c r="AR115" s="87"/>
      <c r="AS115" s="47"/>
      <c r="AT115" s="47"/>
      <c r="AU115" s="47"/>
      <c r="AV115" s="47"/>
      <c r="AW115" s="79"/>
      <c r="AX115" s="47"/>
      <c r="AY115" s="47"/>
      <c r="AZ115" s="47"/>
      <c r="BA115" s="48"/>
      <c r="BB115" s="80"/>
      <c r="BC115" s="47"/>
      <c r="BD115" s="47"/>
      <c r="BE115" s="47"/>
      <c r="BF115" s="47"/>
      <c r="BG115" s="81"/>
      <c r="BH115" s="47"/>
      <c r="BI115" s="47"/>
      <c r="BJ115" s="47"/>
      <c r="BK115" s="56"/>
    </row>
    <row r="116" ht="21.0" customHeight="1">
      <c r="A116" s="78"/>
      <c r="B116" s="44" t="s">
        <v>121</v>
      </c>
      <c r="C116" s="44" t="s">
        <v>29</v>
      </c>
      <c r="D116" s="45">
        <v>45047.0</v>
      </c>
      <c r="E116" s="45">
        <v>45050.0</v>
      </c>
      <c r="F116" s="44" t="s">
        <v>180</v>
      </c>
      <c r="G116" s="44" t="s">
        <v>26</v>
      </c>
      <c r="H116" s="44" t="s">
        <v>21</v>
      </c>
      <c r="I116" s="60"/>
      <c r="J116" s="47"/>
      <c r="K116" s="47"/>
      <c r="L116" s="47"/>
      <c r="M116" s="48"/>
      <c r="N116" s="61"/>
      <c r="O116" s="47"/>
      <c r="P116" s="47"/>
      <c r="Q116" s="47"/>
      <c r="R116" s="48"/>
      <c r="S116" s="50"/>
      <c r="T116" s="47"/>
      <c r="U116" s="47"/>
      <c r="V116" s="47"/>
      <c r="W116" s="48"/>
      <c r="X116" s="52"/>
      <c r="Y116" s="47"/>
      <c r="Z116" s="47"/>
      <c r="AA116" s="47"/>
      <c r="AB116" s="48"/>
      <c r="AC116" s="46">
        <v>1143.85</v>
      </c>
      <c r="AD116" s="47"/>
      <c r="AE116" s="47"/>
      <c r="AF116" s="47"/>
      <c r="AG116" s="48"/>
      <c r="AH116" s="105">
        <v>1194.45</v>
      </c>
      <c r="AI116" s="47"/>
      <c r="AJ116" s="47"/>
      <c r="AK116" s="47"/>
      <c r="AL116" s="48"/>
      <c r="AM116" s="91"/>
      <c r="AN116" s="47"/>
      <c r="AO116" s="47"/>
      <c r="AP116" s="47"/>
      <c r="AQ116" s="48"/>
      <c r="AR116" s="87"/>
      <c r="AS116" s="47"/>
      <c r="AT116" s="47"/>
      <c r="AU116" s="47"/>
      <c r="AV116" s="47"/>
      <c r="AW116" s="79"/>
      <c r="AX116" s="47"/>
      <c r="AY116" s="47"/>
      <c r="AZ116" s="47"/>
      <c r="BA116" s="48"/>
      <c r="BB116" s="80"/>
      <c r="BC116" s="47"/>
      <c r="BD116" s="47"/>
      <c r="BE116" s="47"/>
      <c r="BF116" s="47"/>
      <c r="BG116" s="81"/>
      <c r="BH116" s="47"/>
      <c r="BI116" s="47"/>
      <c r="BJ116" s="47"/>
      <c r="BK116" s="56"/>
    </row>
    <row r="117" ht="21.0" customHeight="1">
      <c r="A117" s="78"/>
      <c r="B117" s="44" t="s">
        <v>118</v>
      </c>
      <c r="C117" s="44" t="s">
        <v>102</v>
      </c>
      <c r="D117" s="45">
        <v>45046.0</v>
      </c>
      <c r="E117" s="45">
        <v>45050.0</v>
      </c>
      <c r="F117" s="44" t="s">
        <v>50</v>
      </c>
      <c r="G117" s="44" t="s">
        <v>26</v>
      </c>
      <c r="H117" s="44" t="s">
        <v>21</v>
      </c>
      <c r="I117" s="60"/>
      <c r="J117" s="47"/>
      <c r="K117" s="47"/>
      <c r="L117" s="47"/>
      <c r="M117" s="48"/>
      <c r="N117" s="61"/>
      <c r="O117" s="47"/>
      <c r="P117" s="47"/>
      <c r="Q117" s="47"/>
      <c r="R117" s="47"/>
      <c r="S117" s="50"/>
      <c r="T117" s="47"/>
      <c r="U117" s="47"/>
      <c r="V117" s="47"/>
      <c r="W117" s="48"/>
      <c r="X117" s="61"/>
      <c r="Y117" s="47"/>
      <c r="Z117" s="47"/>
      <c r="AA117" s="47"/>
      <c r="AB117" s="48"/>
      <c r="AC117" s="46">
        <v>1853.09</v>
      </c>
      <c r="AD117" s="47"/>
      <c r="AE117" s="47"/>
      <c r="AF117" s="47"/>
      <c r="AG117" s="48"/>
      <c r="AH117" s="69">
        <v>1814.57</v>
      </c>
      <c r="AI117" s="47"/>
      <c r="AJ117" s="47"/>
      <c r="AK117" s="47"/>
      <c r="AL117" s="48"/>
      <c r="AM117" s="91"/>
      <c r="AN117" s="47"/>
      <c r="AO117" s="47"/>
      <c r="AP117" s="47"/>
      <c r="AQ117" s="48"/>
      <c r="AR117" s="87"/>
      <c r="AS117" s="47"/>
      <c r="AT117" s="47"/>
      <c r="AU117" s="47"/>
      <c r="AV117" s="47"/>
      <c r="AW117" s="79"/>
      <c r="AX117" s="47"/>
      <c r="AY117" s="47"/>
      <c r="AZ117" s="47"/>
      <c r="BA117" s="48"/>
      <c r="BB117" s="80"/>
      <c r="BC117" s="47"/>
      <c r="BD117" s="47"/>
      <c r="BE117" s="47"/>
      <c r="BF117" s="47"/>
      <c r="BG117" s="81"/>
      <c r="BH117" s="47"/>
      <c r="BI117" s="47"/>
      <c r="BJ117" s="47"/>
      <c r="BK117" s="56"/>
    </row>
    <row r="118" ht="21.0" customHeight="1">
      <c r="A118" s="78"/>
      <c r="B118" s="44" t="s">
        <v>57</v>
      </c>
      <c r="C118" s="44" t="s">
        <v>102</v>
      </c>
      <c r="D118" s="45">
        <v>45047.0</v>
      </c>
      <c r="E118" s="45">
        <v>45051.0</v>
      </c>
      <c r="F118" s="44" t="s">
        <v>50</v>
      </c>
      <c r="G118" s="44" t="s">
        <v>26</v>
      </c>
      <c r="H118" s="57" t="s">
        <v>21</v>
      </c>
      <c r="I118" s="50"/>
      <c r="J118" s="47"/>
      <c r="K118" s="47"/>
      <c r="L118" s="47"/>
      <c r="M118" s="48"/>
      <c r="N118" s="61"/>
      <c r="O118" s="47"/>
      <c r="P118" s="47"/>
      <c r="Q118" s="47"/>
      <c r="R118" s="48"/>
      <c r="S118" s="50"/>
      <c r="T118" s="47"/>
      <c r="U118" s="47"/>
      <c r="V118" s="47"/>
      <c r="W118" s="48"/>
      <c r="X118" s="51"/>
      <c r="Y118" s="47"/>
      <c r="Z118" s="47"/>
      <c r="AA118" s="47"/>
      <c r="AB118" s="48"/>
      <c r="AC118" s="46">
        <v>1261.38</v>
      </c>
      <c r="AD118" s="47"/>
      <c r="AE118" s="47"/>
      <c r="AF118" s="47"/>
      <c r="AG118" s="48"/>
      <c r="AH118" s="69">
        <v>1085.11</v>
      </c>
      <c r="AI118" s="47"/>
      <c r="AJ118" s="47"/>
      <c r="AK118" s="47"/>
      <c r="AL118" s="48"/>
      <c r="AM118" s="91"/>
      <c r="AN118" s="47"/>
      <c r="AO118" s="47"/>
      <c r="AP118" s="47"/>
      <c r="AQ118" s="48"/>
      <c r="AR118" s="87"/>
      <c r="AS118" s="47"/>
      <c r="AT118" s="47"/>
      <c r="AU118" s="47"/>
      <c r="AV118" s="47"/>
      <c r="AW118" s="79"/>
      <c r="AX118" s="47"/>
      <c r="AY118" s="47"/>
      <c r="AZ118" s="47"/>
      <c r="BA118" s="48"/>
      <c r="BB118" s="80"/>
      <c r="BC118" s="47"/>
      <c r="BD118" s="47"/>
      <c r="BE118" s="47"/>
      <c r="BF118" s="47"/>
      <c r="BG118" s="81"/>
      <c r="BH118" s="47"/>
      <c r="BI118" s="47"/>
      <c r="BJ118" s="47"/>
      <c r="BK118" s="56"/>
    </row>
    <row r="119" ht="21.0" customHeight="1">
      <c r="A119" s="78"/>
      <c r="B119" s="44" t="s">
        <v>129</v>
      </c>
      <c r="C119" s="44" t="s">
        <v>130</v>
      </c>
      <c r="D119" s="45">
        <v>45047.0</v>
      </c>
      <c r="E119" s="45">
        <v>45051.0</v>
      </c>
      <c r="F119" s="44" t="s">
        <v>50</v>
      </c>
      <c r="G119" s="44" t="s">
        <v>26</v>
      </c>
      <c r="H119" s="57" t="s">
        <v>21</v>
      </c>
      <c r="I119" s="50"/>
      <c r="J119" s="47"/>
      <c r="K119" s="47"/>
      <c r="L119" s="47"/>
      <c r="M119" s="48"/>
      <c r="N119" s="51"/>
      <c r="O119" s="47"/>
      <c r="P119" s="47"/>
      <c r="Q119" s="47"/>
      <c r="R119" s="48"/>
      <c r="S119" s="50"/>
      <c r="T119" s="47"/>
      <c r="U119" s="47"/>
      <c r="V119" s="47"/>
      <c r="W119" s="48"/>
      <c r="X119" s="61"/>
      <c r="Y119" s="47"/>
      <c r="Z119" s="47"/>
      <c r="AA119" s="47"/>
      <c r="AB119" s="48"/>
      <c r="AC119" s="46">
        <v>1448.13</v>
      </c>
      <c r="AD119" s="47"/>
      <c r="AE119" s="47"/>
      <c r="AF119" s="47"/>
      <c r="AG119" s="48"/>
      <c r="AH119" s="69">
        <v>1319.64</v>
      </c>
      <c r="AI119" s="47"/>
      <c r="AJ119" s="47"/>
      <c r="AK119" s="47"/>
      <c r="AL119" s="48"/>
      <c r="AM119" s="91"/>
      <c r="AN119" s="47"/>
      <c r="AO119" s="47"/>
      <c r="AP119" s="47"/>
      <c r="AQ119" s="48"/>
      <c r="AR119" s="87"/>
      <c r="AS119" s="47"/>
      <c r="AT119" s="47"/>
      <c r="AU119" s="47"/>
      <c r="AV119" s="47"/>
      <c r="AW119" s="79"/>
      <c r="AX119" s="47"/>
      <c r="AY119" s="47"/>
      <c r="AZ119" s="47"/>
      <c r="BA119" s="48"/>
      <c r="BB119" s="80"/>
      <c r="BC119" s="47"/>
      <c r="BD119" s="47"/>
      <c r="BE119" s="47"/>
      <c r="BF119" s="47"/>
      <c r="BG119" s="81"/>
      <c r="BH119" s="47"/>
      <c r="BI119" s="47"/>
      <c r="BJ119" s="47"/>
      <c r="BK119" s="56"/>
    </row>
    <row r="120" ht="21.0" customHeight="1">
      <c r="A120" s="78"/>
      <c r="B120" s="44" t="s">
        <v>152</v>
      </c>
      <c r="C120" s="44" t="s">
        <v>193</v>
      </c>
      <c r="D120" s="45">
        <v>45053.0</v>
      </c>
      <c r="E120" s="45">
        <v>45058.0</v>
      </c>
      <c r="F120" s="44" t="s">
        <v>194</v>
      </c>
      <c r="G120" s="44" t="s">
        <v>195</v>
      </c>
      <c r="H120" s="44" t="s">
        <v>124</v>
      </c>
      <c r="I120" s="60"/>
      <c r="J120" s="47"/>
      <c r="K120" s="47"/>
      <c r="L120" s="47"/>
      <c r="M120" s="48"/>
      <c r="N120" s="61"/>
      <c r="O120" s="47"/>
      <c r="P120" s="47"/>
      <c r="Q120" s="47"/>
      <c r="R120" s="47"/>
      <c r="S120" s="50"/>
      <c r="T120" s="47"/>
      <c r="U120" s="47"/>
      <c r="V120" s="47"/>
      <c r="W120" s="48"/>
      <c r="X120" s="61"/>
      <c r="Y120" s="47"/>
      <c r="Z120" s="47"/>
      <c r="AA120" s="47"/>
      <c r="AB120" s="48"/>
      <c r="AC120" s="46">
        <v>5018.49</v>
      </c>
      <c r="AD120" s="47"/>
      <c r="AE120" s="47"/>
      <c r="AF120" s="47"/>
      <c r="AG120" s="48"/>
      <c r="AH120" s="69">
        <v>5047.76</v>
      </c>
      <c r="AI120" s="47"/>
      <c r="AJ120" s="47"/>
      <c r="AK120" s="47"/>
      <c r="AL120" s="48"/>
      <c r="AM120" s="91"/>
      <c r="AN120" s="47"/>
      <c r="AO120" s="47"/>
      <c r="AP120" s="47"/>
      <c r="AQ120" s="48"/>
      <c r="AR120" s="87"/>
      <c r="AS120" s="47"/>
      <c r="AT120" s="47"/>
      <c r="AU120" s="47"/>
      <c r="AV120" s="47"/>
      <c r="AW120" s="79"/>
      <c r="AX120" s="47"/>
      <c r="AY120" s="47"/>
      <c r="AZ120" s="47"/>
      <c r="BA120" s="48"/>
      <c r="BB120" s="80"/>
      <c r="BC120" s="47"/>
      <c r="BD120" s="47"/>
      <c r="BE120" s="47"/>
      <c r="BF120" s="47"/>
      <c r="BG120" s="81"/>
      <c r="BH120" s="47"/>
      <c r="BI120" s="47"/>
      <c r="BJ120" s="47"/>
      <c r="BK120" s="56"/>
    </row>
    <row r="121" ht="21.0" customHeight="1">
      <c r="A121" s="78"/>
      <c r="B121" s="44" t="s">
        <v>42</v>
      </c>
      <c r="C121" s="44" t="s">
        <v>29</v>
      </c>
      <c r="D121" s="45">
        <v>45047.0</v>
      </c>
      <c r="E121" s="45">
        <v>45050.0</v>
      </c>
      <c r="F121" s="44" t="s">
        <v>50</v>
      </c>
      <c r="G121" s="44" t="s">
        <v>26</v>
      </c>
      <c r="H121" s="44" t="s">
        <v>21</v>
      </c>
      <c r="I121" s="60"/>
      <c r="J121" s="47"/>
      <c r="K121" s="47"/>
      <c r="L121" s="47"/>
      <c r="M121" s="48"/>
      <c r="N121" s="61"/>
      <c r="O121" s="47"/>
      <c r="P121" s="47"/>
      <c r="Q121" s="47"/>
      <c r="R121" s="48"/>
      <c r="S121" s="50"/>
      <c r="T121" s="47"/>
      <c r="U121" s="47"/>
      <c r="V121" s="47"/>
      <c r="W121" s="48"/>
      <c r="X121" s="51"/>
      <c r="Y121" s="47"/>
      <c r="Z121" s="47"/>
      <c r="AA121" s="47"/>
      <c r="AB121" s="48"/>
      <c r="AC121" s="46">
        <v>1114.39</v>
      </c>
      <c r="AD121" s="47"/>
      <c r="AE121" s="47"/>
      <c r="AF121" s="47"/>
      <c r="AG121" s="48"/>
      <c r="AH121" s="49">
        <v>1111.06</v>
      </c>
      <c r="AI121" s="47"/>
      <c r="AJ121" s="47"/>
      <c r="AK121" s="47"/>
      <c r="AL121" s="48"/>
      <c r="AM121" s="91"/>
      <c r="AN121" s="47"/>
      <c r="AO121" s="47"/>
      <c r="AP121" s="47"/>
      <c r="AQ121" s="48"/>
      <c r="AR121" s="87"/>
      <c r="AS121" s="47"/>
      <c r="AT121" s="47"/>
      <c r="AU121" s="47"/>
      <c r="AV121" s="47"/>
      <c r="AW121" s="79"/>
      <c r="AX121" s="47"/>
      <c r="AY121" s="47"/>
      <c r="AZ121" s="47"/>
      <c r="BA121" s="48"/>
      <c r="BB121" s="80"/>
      <c r="BC121" s="47"/>
      <c r="BD121" s="47"/>
      <c r="BE121" s="47"/>
      <c r="BF121" s="47"/>
      <c r="BG121" s="81"/>
      <c r="BH121" s="47"/>
      <c r="BI121" s="47"/>
      <c r="BJ121" s="47"/>
      <c r="BK121" s="56"/>
    </row>
    <row r="122" ht="21.0" customHeight="1">
      <c r="A122" s="78"/>
      <c r="B122" s="44" t="s">
        <v>28</v>
      </c>
      <c r="C122" s="44" t="s">
        <v>29</v>
      </c>
      <c r="D122" s="45">
        <v>45047.0</v>
      </c>
      <c r="E122" s="45">
        <v>45050.0</v>
      </c>
      <c r="F122" s="44" t="s">
        <v>50</v>
      </c>
      <c r="G122" s="44" t="s">
        <v>26</v>
      </c>
      <c r="H122" s="44" t="s">
        <v>21</v>
      </c>
      <c r="I122" s="60"/>
      <c r="J122" s="47"/>
      <c r="K122" s="47"/>
      <c r="L122" s="47"/>
      <c r="M122" s="48"/>
      <c r="N122" s="61"/>
      <c r="O122" s="47"/>
      <c r="P122" s="47"/>
      <c r="Q122" s="47"/>
      <c r="R122" s="48"/>
      <c r="S122" s="50"/>
      <c r="T122" s="47"/>
      <c r="U122" s="47"/>
      <c r="V122" s="47"/>
      <c r="W122" s="48"/>
      <c r="X122" s="51"/>
      <c r="Y122" s="47"/>
      <c r="Z122" s="47"/>
      <c r="AA122" s="47"/>
      <c r="AB122" s="48"/>
      <c r="AC122" s="46">
        <v>1245.38</v>
      </c>
      <c r="AD122" s="47"/>
      <c r="AE122" s="47"/>
      <c r="AF122" s="47"/>
      <c r="AG122" s="48"/>
      <c r="AH122" s="49">
        <v>1092.65</v>
      </c>
      <c r="AI122" s="47"/>
      <c r="AJ122" s="47"/>
      <c r="AK122" s="47"/>
      <c r="AL122" s="48"/>
      <c r="AM122" s="91"/>
      <c r="AN122" s="47"/>
      <c r="AO122" s="47"/>
      <c r="AP122" s="47"/>
      <c r="AQ122" s="48"/>
      <c r="AR122" s="87"/>
      <c r="AS122" s="47"/>
      <c r="AT122" s="47"/>
      <c r="AU122" s="47"/>
      <c r="AV122" s="47"/>
      <c r="AW122" s="79"/>
      <c r="AX122" s="47"/>
      <c r="AY122" s="47"/>
      <c r="AZ122" s="47"/>
      <c r="BA122" s="48"/>
      <c r="BB122" s="80"/>
      <c r="BC122" s="47"/>
      <c r="BD122" s="47"/>
      <c r="BE122" s="47"/>
      <c r="BF122" s="47"/>
      <c r="BG122" s="81"/>
      <c r="BH122" s="47"/>
      <c r="BI122" s="47"/>
      <c r="BJ122" s="47"/>
      <c r="BK122" s="56"/>
    </row>
    <row r="123" ht="21.0" customHeight="1">
      <c r="A123" s="78"/>
      <c r="B123" s="44" t="s">
        <v>17</v>
      </c>
      <c r="C123" s="44" t="s">
        <v>29</v>
      </c>
      <c r="D123" s="45">
        <v>45047.0</v>
      </c>
      <c r="E123" s="45">
        <v>45051.0</v>
      </c>
      <c r="F123" s="44" t="s">
        <v>50</v>
      </c>
      <c r="G123" s="44" t="s">
        <v>26</v>
      </c>
      <c r="H123" s="44" t="s">
        <v>21</v>
      </c>
      <c r="I123" s="60"/>
      <c r="J123" s="47"/>
      <c r="K123" s="47"/>
      <c r="L123" s="47"/>
      <c r="M123" s="48"/>
      <c r="N123" s="61"/>
      <c r="O123" s="47"/>
      <c r="P123" s="47"/>
      <c r="Q123" s="47"/>
      <c r="R123" s="48"/>
      <c r="S123" s="50"/>
      <c r="T123" s="47"/>
      <c r="U123" s="47"/>
      <c r="V123" s="47"/>
      <c r="W123" s="48"/>
      <c r="X123" s="51"/>
      <c r="Y123" s="47"/>
      <c r="Z123" s="47"/>
      <c r="AA123" s="47"/>
      <c r="AB123" s="48"/>
      <c r="AC123" s="46">
        <v>1194.39</v>
      </c>
      <c r="AD123" s="47"/>
      <c r="AE123" s="47"/>
      <c r="AF123" s="47"/>
      <c r="AG123" s="48"/>
      <c r="AH123" s="49">
        <v>1109.87</v>
      </c>
      <c r="AI123" s="47"/>
      <c r="AJ123" s="47"/>
      <c r="AK123" s="47"/>
      <c r="AL123" s="48"/>
      <c r="AM123" s="91"/>
      <c r="AN123" s="47"/>
      <c r="AO123" s="47"/>
      <c r="AP123" s="47"/>
      <c r="AQ123" s="48"/>
      <c r="AR123" s="87"/>
      <c r="AS123" s="47"/>
      <c r="AT123" s="47"/>
      <c r="AU123" s="47"/>
      <c r="AV123" s="47"/>
      <c r="AW123" s="79"/>
      <c r="AX123" s="47"/>
      <c r="AY123" s="47"/>
      <c r="AZ123" s="47"/>
      <c r="BA123" s="48"/>
      <c r="BB123" s="80"/>
      <c r="BC123" s="47"/>
      <c r="BD123" s="47"/>
      <c r="BE123" s="47"/>
      <c r="BF123" s="47"/>
      <c r="BG123" s="81"/>
      <c r="BH123" s="47"/>
      <c r="BI123" s="47"/>
      <c r="BJ123" s="47"/>
      <c r="BK123" s="56"/>
    </row>
    <row r="124" ht="21.0" customHeight="1">
      <c r="A124" s="78"/>
      <c r="B124" s="119" t="s">
        <v>103</v>
      </c>
      <c r="C124" s="119" t="s">
        <v>291</v>
      </c>
      <c r="D124" s="120">
        <v>45055.0</v>
      </c>
      <c r="E124" s="120">
        <v>45057.0</v>
      </c>
      <c r="F124" s="119" t="s">
        <v>292</v>
      </c>
      <c r="G124" s="119" t="s">
        <v>59</v>
      </c>
      <c r="H124" s="121" t="s">
        <v>27</v>
      </c>
      <c r="I124" s="60"/>
      <c r="J124" s="47"/>
      <c r="K124" s="47"/>
      <c r="L124" s="47"/>
      <c r="M124" s="48"/>
      <c r="N124" s="61"/>
      <c r="O124" s="47"/>
      <c r="P124" s="47"/>
      <c r="Q124" s="47"/>
      <c r="R124" s="48"/>
      <c r="S124" s="50"/>
      <c r="T124" s="47"/>
      <c r="U124" s="47"/>
      <c r="V124" s="47"/>
      <c r="W124" s="48"/>
      <c r="X124" s="52"/>
      <c r="Y124" s="47"/>
      <c r="Z124" s="47"/>
      <c r="AA124" s="47"/>
      <c r="AB124" s="48"/>
      <c r="AC124" s="46">
        <v>540.12</v>
      </c>
      <c r="AD124" s="47"/>
      <c r="AE124" s="47"/>
      <c r="AF124" s="47"/>
      <c r="AG124" s="48"/>
      <c r="AH124" s="69">
        <v>540.76</v>
      </c>
      <c r="AI124" s="47"/>
      <c r="AJ124" s="47"/>
      <c r="AK124" s="47"/>
      <c r="AL124" s="48"/>
      <c r="AM124" s="91"/>
      <c r="AN124" s="47"/>
      <c r="AO124" s="47"/>
      <c r="AP124" s="47"/>
      <c r="AQ124" s="48"/>
      <c r="AR124" s="87"/>
      <c r="AS124" s="47"/>
      <c r="AT124" s="47"/>
      <c r="AU124" s="47"/>
      <c r="AV124" s="47"/>
      <c r="AW124" s="79"/>
      <c r="AX124" s="47"/>
      <c r="AY124" s="47"/>
      <c r="AZ124" s="47"/>
      <c r="BA124" s="48"/>
      <c r="BB124" s="80"/>
      <c r="BC124" s="47"/>
      <c r="BD124" s="47"/>
      <c r="BE124" s="47"/>
      <c r="BF124" s="47"/>
      <c r="BG124" s="81"/>
      <c r="BH124" s="47"/>
      <c r="BI124" s="47"/>
      <c r="BJ124" s="47"/>
      <c r="BK124" s="56"/>
    </row>
    <row r="125" ht="21.0" customHeight="1">
      <c r="A125" s="78"/>
      <c r="B125" s="44" t="s">
        <v>263</v>
      </c>
      <c r="C125" s="44" t="s">
        <v>130</v>
      </c>
      <c r="D125" s="45">
        <v>45047.0</v>
      </c>
      <c r="E125" s="45">
        <v>45050.0</v>
      </c>
      <c r="F125" s="44" t="s">
        <v>50</v>
      </c>
      <c r="G125" s="44" t="s">
        <v>26</v>
      </c>
      <c r="H125" s="44" t="s">
        <v>21</v>
      </c>
      <c r="I125" s="132"/>
      <c r="J125" s="47"/>
      <c r="K125" s="47"/>
      <c r="L125" s="47"/>
      <c r="M125" s="48"/>
      <c r="N125" s="61"/>
      <c r="O125" s="47"/>
      <c r="P125" s="47"/>
      <c r="Q125" s="47"/>
      <c r="R125" s="48"/>
      <c r="S125" s="50"/>
      <c r="T125" s="47"/>
      <c r="U125" s="47"/>
      <c r="V125" s="47"/>
      <c r="W125" s="48"/>
      <c r="X125" s="52"/>
      <c r="Y125" s="47"/>
      <c r="Z125" s="47"/>
      <c r="AA125" s="47"/>
      <c r="AB125" s="48"/>
      <c r="AC125" s="46">
        <v>1435.97</v>
      </c>
      <c r="AD125" s="47"/>
      <c r="AE125" s="47"/>
      <c r="AF125" s="47"/>
      <c r="AG125" s="48"/>
      <c r="AH125" s="82">
        <v>1472.88</v>
      </c>
      <c r="AI125" s="47"/>
      <c r="AJ125" s="47"/>
      <c r="AK125" s="47"/>
      <c r="AL125" s="48"/>
      <c r="AM125" s="91"/>
      <c r="AN125" s="47"/>
      <c r="AO125" s="47"/>
      <c r="AP125" s="47"/>
      <c r="AQ125" s="48"/>
      <c r="AR125" s="87"/>
      <c r="AS125" s="47"/>
      <c r="AT125" s="47"/>
      <c r="AU125" s="47"/>
      <c r="AV125" s="47"/>
      <c r="AW125" s="79"/>
      <c r="AX125" s="47"/>
      <c r="AY125" s="47"/>
      <c r="AZ125" s="47"/>
      <c r="BA125" s="48"/>
      <c r="BB125" s="80"/>
      <c r="BC125" s="47"/>
      <c r="BD125" s="47"/>
      <c r="BE125" s="47"/>
      <c r="BF125" s="47"/>
      <c r="BG125" s="81"/>
      <c r="BH125" s="47"/>
      <c r="BI125" s="47"/>
      <c r="BJ125" s="47"/>
      <c r="BK125" s="56"/>
    </row>
    <row r="126" ht="21.0" customHeight="1">
      <c r="A126" s="78"/>
      <c r="B126" s="44" t="s">
        <v>99</v>
      </c>
      <c r="C126" s="44" t="s">
        <v>112</v>
      </c>
      <c r="D126" s="45">
        <v>45047.0</v>
      </c>
      <c r="E126" s="45">
        <v>45050.0</v>
      </c>
      <c r="F126" s="44" t="s">
        <v>50</v>
      </c>
      <c r="G126" s="44" t="s">
        <v>26</v>
      </c>
      <c r="H126" s="44" t="s">
        <v>21</v>
      </c>
      <c r="I126" s="60"/>
      <c r="J126" s="47"/>
      <c r="K126" s="47"/>
      <c r="L126" s="47"/>
      <c r="M126" s="48"/>
      <c r="N126" s="61"/>
      <c r="O126" s="47"/>
      <c r="P126" s="47"/>
      <c r="Q126" s="47"/>
      <c r="R126" s="48"/>
      <c r="S126" s="50"/>
      <c r="T126" s="47"/>
      <c r="U126" s="47"/>
      <c r="V126" s="47"/>
      <c r="W126" s="48"/>
      <c r="X126" s="51"/>
      <c r="Y126" s="47"/>
      <c r="Z126" s="47"/>
      <c r="AA126" s="47"/>
      <c r="AB126" s="48"/>
      <c r="AC126" s="46">
        <v>963.27</v>
      </c>
      <c r="AD126" s="47"/>
      <c r="AE126" s="47"/>
      <c r="AF126" s="47"/>
      <c r="AG126" s="48"/>
      <c r="AH126" s="82">
        <v>717.6</v>
      </c>
      <c r="AI126" s="47"/>
      <c r="AJ126" s="47"/>
      <c r="AK126" s="47"/>
      <c r="AL126" s="48"/>
      <c r="AM126" s="91"/>
      <c r="AN126" s="47"/>
      <c r="AO126" s="47"/>
      <c r="AP126" s="47"/>
      <c r="AQ126" s="48"/>
      <c r="AR126" s="87"/>
      <c r="AS126" s="47"/>
      <c r="AT126" s="47"/>
      <c r="AU126" s="47"/>
      <c r="AV126" s="47"/>
      <c r="AW126" s="79"/>
      <c r="AX126" s="47"/>
      <c r="AY126" s="47"/>
      <c r="AZ126" s="47"/>
      <c r="BA126" s="48"/>
      <c r="BB126" s="80"/>
      <c r="BC126" s="47"/>
      <c r="BD126" s="47"/>
      <c r="BE126" s="47"/>
      <c r="BF126" s="47"/>
      <c r="BG126" s="81"/>
      <c r="BH126" s="47"/>
      <c r="BI126" s="47"/>
      <c r="BJ126" s="47"/>
      <c r="BK126" s="56"/>
    </row>
    <row r="127" ht="21.0" customHeight="1">
      <c r="A127" s="78"/>
      <c r="B127" s="44" t="s">
        <v>125</v>
      </c>
      <c r="C127" s="44" t="s">
        <v>29</v>
      </c>
      <c r="D127" s="45">
        <v>45047.0</v>
      </c>
      <c r="E127" s="45">
        <v>45050.0</v>
      </c>
      <c r="F127" s="44" t="s">
        <v>180</v>
      </c>
      <c r="G127" s="44" t="s">
        <v>26</v>
      </c>
      <c r="H127" s="44" t="s">
        <v>21</v>
      </c>
      <c r="I127" s="60"/>
      <c r="J127" s="47"/>
      <c r="K127" s="47"/>
      <c r="L127" s="47"/>
      <c r="M127" s="48"/>
      <c r="N127" s="61"/>
      <c r="O127" s="47"/>
      <c r="P127" s="47"/>
      <c r="Q127" s="47"/>
      <c r="R127" s="48"/>
      <c r="S127" s="50"/>
      <c r="T127" s="47"/>
      <c r="U127" s="47"/>
      <c r="V127" s="47"/>
      <c r="W127" s="48"/>
      <c r="X127" s="52"/>
      <c r="Y127" s="47"/>
      <c r="Z127" s="47"/>
      <c r="AA127" s="47"/>
      <c r="AB127" s="48"/>
      <c r="AC127" s="46">
        <v>1123.97</v>
      </c>
      <c r="AD127" s="47"/>
      <c r="AE127" s="47"/>
      <c r="AF127" s="47"/>
      <c r="AG127" s="48"/>
      <c r="AH127" s="105">
        <v>1194.3</v>
      </c>
      <c r="AI127" s="47"/>
      <c r="AJ127" s="47"/>
      <c r="AK127" s="47"/>
      <c r="AL127" s="48"/>
      <c r="AM127" s="91"/>
      <c r="AN127" s="47"/>
      <c r="AO127" s="47"/>
      <c r="AP127" s="47"/>
      <c r="AQ127" s="48"/>
      <c r="AR127" s="87"/>
      <c r="AS127" s="47"/>
      <c r="AT127" s="47"/>
      <c r="AU127" s="47"/>
      <c r="AV127" s="47"/>
      <c r="AW127" s="79"/>
      <c r="AX127" s="47"/>
      <c r="AY127" s="47"/>
      <c r="AZ127" s="47"/>
      <c r="BA127" s="48"/>
      <c r="BB127" s="80"/>
      <c r="BC127" s="47"/>
      <c r="BD127" s="47"/>
      <c r="BE127" s="47"/>
      <c r="BF127" s="47"/>
      <c r="BG127" s="81"/>
      <c r="BH127" s="47"/>
      <c r="BI127" s="47"/>
      <c r="BJ127" s="47"/>
      <c r="BK127" s="56"/>
    </row>
    <row r="128" ht="21.0" customHeight="1">
      <c r="A128" s="78"/>
      <c r="B128" s="44" t="s">
        <v>128</v>
      </c>
      <c r="C128" s="44" t="s">
        <v>29</v>
      </c>
      <c r="D128" s="45">
        <v>45047.0</v>
      </c>
      <c r="E128" s="45">
        <v>45050.0</v>
      </c>
      <c r="F128" s="44" t="s">
        <v>50</v>
      </c>
      <c r="G128" s="44" t="s">
        <v>26</v>
      </c>
      <c r="H128" s="57" t="s">
        <v>21</v>
      </c>
      <c r="I128" s="50"/>
      <c r="J128" s="47"/>
      <c r="K128" s="47"/>
      <c r="L128" s="47"/>
      <c r="M128" s="48"/>
      <c r="N128" s="52"/>
      <c r="O128" s="47"/>
      <c r="P128" s="47"/>
      <c r="Q128" s="47"/>
      <c r="R128" s="48"/>
      <c r="S128" s="50"/>
      <c r="T128" s="47"/>
      <c r="U128" s="47"/>
      <c r="V128" s="47"/>
      <c r="W128" s="48"/>
      <c r="X128" s="51"/>
      <c r="Y128" s="47"/>
      <c r="Z128" s="47"/>
      <c r="AA128" s="47"/>
      <c r="AB128" s="48"/>
      <c r="AC128" s="46">
        <v>1060.38</v>
      </c>
      <c r="AD128" s="47"/>
      <c r="AE128" s="47"/>
      <c r="AF128" s="47"/>
      <c r="AG128" s="48"/>
      <c r="AH128" s="105">
        <v>1144.41</v>
      </c>
      <c r="AI128" s="47"/>
      <c r="AJ128" s="47"/>
      <c r="AK128" s="47"/>
      <c r="AL128" s="48"/>
      <c r="AM128" s="91"/>
      <c r="AN128" s="47"/>
      <c r="AO128" s="47"/>
      <c r="AP128" s="47"/>
      <c r="AQ128" s="48"/>
      <c r="AR128" s="87"/>
      <c r="AS128" s="47"/>
      <c r="AT128" s="47"/>
      <c r="AU128" s="47"/>
      <c r="AV128" s="47"/>
      <c r="AW128" s="79"/>
      <c r="AX128" s="47"/>
      <c r="AY128" s="47"/>
      <c r="AZ128" s="47"/>
      <c r="BA128" s="48"/>
      <c r="BB128" s="80"/>
      <c r="BC128" s="47"/>
      <c r="BD128" s="47"/>
      <c r="BE128" s="47"/>
      <c r="BF128" s="47"/>
      <c r="BG128" s="81"/>
      <c r="BH128" s="47"/>
      <c r="BI128" s="47"/>
      <c r="BJ128" s="47"/>
      <c r="BK128" s="56"/>
    </row>
    <row r="129" ht="21.0" customHeight="1">
      <c r="A129" s="78"/>
      <c r="B129" s="44" t="s">
        <v>200</v>
      </c>
      <c r="C129" s="44" t="s">
        <v>336</v>
      </c>
      <c r="D129" s="45">
        <v>45062.0</v>
      </c>
      <c r="E129" s="45">
        <v>45064.0</v>
      </c>
      <c r="F129" s="44" t="s">
        <v>337</v>
      </c>
      <c r="G129" s="44" t="s">
        <v>187</v>
      </c>
      <c r="H129" s="44" t="s">
        <v>27</v>
      </c>
      <c r="I129" s="60"/>
      <c r="J129" s="47"/>
      <c r="K129" s="47"/>
      <c r="L129" s="47"/>
      <c r="M129" s="48"/>
      <c r="N129" s="61"/>
      <c r="O129" s="47"/>
      <c r="P129" s="47"/>
      <c r="Q129" s="47"/>
      <c r="R129" s="48"/>
      <c r="S129" s="50"/>
      <c r="T129" s="47"/>
      <c r="U129" s="47"/>
      <c r="V129" s="47"/>
      <c r="W129" s="48"/>
      <c r="X129" s="52"/>
      <c r="Y129" s="47"/>
      <c r="Z129" s="47"/>
      <c r="AA129" s="47"/>
      <c r="AB129" s="48"/>
      <c r="AC129" s="46">
        <v>1548.98</v>
      </c>
      <c r="AD129" s="47"/>
      <c r="AE129" s="47"/>
      <c r="AF129" s="47"/>
      <c r="AG129" s="48"/>
      <c r="AH129" s="105">
        <v>1561.94</v>
      </c>
      <c r="AI129" s="47"/>
      <c r="AJ129" s="47"/>
      <c r="AK129" s="47"/>
      <c r="AL129" s="48"/>
      <c r="AM129" s="91"/>
      <c r="AN129" s="47"/>
      <c r="AO129" s="47"/>
      <c r="AP129" s="47"/>
      <c r="AQ129" s="48"/>
      <c r="AR129" s="87"/>
      <c r="AS129" s="47"/>
      <c r="AT129" s="47"/>
      <c r="AU129" s="47"/>
      <c r="AV129" s="47"/>
      <c r="AW129" s="79"/>
      <c r="AX129" s="47"/>
      <c r="AY129" s="47"/>
      <c r="AZ129" s="47"/>
      <c r="BA129" s="48"/>
      <c r="BB129" s="80"/>
      <c r="BC129" s="47"/>
      <c r="BD129" s="47"/>
      <c r="BE129" s="47"/>
      <c r="BF129" s="47"/>
      <c r="BG129" s="81"/>
      <c r="BH129" s="47"/>
      <c r="BI129" s="47"/>
      <c r="BJ129" s="47"/>
      <c r="BK129" s="56"/>
    </row>
    <row r="130" ht="21.0" customHeight="1">
      <c r="A130" s="78"/>
      <c r="B130" s="44" t="s">
        <v>144</v>
      </c>
      <c r="C130" s="44" t="s">
        <v>198</v>
      </c>
      <c r="D130" s="45">
        <v>45061.0</v>
      </c>
      <c r="E130" s="45">
        <v>45065.0</v>
      </c>
      <c r="F130" s="44" t="s">
        <v>199</v>
      </c>
      <c r="G130" s="44" t="s">
        <v>59</v>
      </c>
      <c r="H130" s="44" t="s">
        <v>27</v>
      </c>
      <c r="I130" s="60"/>
      <c r="J130" s="47"/>
      <c r="K130" s="47"/>
      <c r="L130" s="47"/>
      <c r="M130" s="48"/>
      <c r="N130" s="61"/>
      <c r="O130" s="47"/>
      <c r="P130" s="47"/>
      <c r="Q130" s="47"/>
      <c r="R130" s="47"/>
      <c r="S130" s="50"/>
      <c r="T130" s="47"/>
      <c r="U130" s="47"/>
      <c r="V130" s="47"/>
      <c r="W130" s="48"/>
      <c r="X130" s="61"/>
      <c r="Y130" s="47"/>
      <c r="Z130" s="47"/>
      <c r="AA130" s="47"/>
      <c r="AB130" s="48"/>
      <c r="AC130" s="46">
        <v>1405.57</v>
      </c>
      <c r="AD130" s="47"/>
      <c r="AE130" s="47"/>
      <c r="AF130" s="47"/>
      <c r="AG130" s="48"/>
      <c r="AH130" s="69">
        <v>1444.41</v>
      </c>
      <c r="AI130" s="47"/>
      <c r="AJ130" s="47"/>
      <c r="AK130" s="47"/>
      <c r="AL130" s="48"/>
      <c r="AM130" s="91"/>
      <c r="AN130" s="47"/>
      <c r="AO130" s="47"/>
      <c r="AP130" s="47"/>
      <c r="AQ130" s="48"/>
      <c r="AR130" s="87"/>
      <c r="AS130" s="47"/>
      <c r="AT130" s="47"/>
      <c r="AU130" s="47"/>
      <c r="AV130" s="47"/>
      <c r="AW130" s="79"/>
      <c r="AX130" s="47"/>
      <c r="AY130" s="47"/>
      <c r="AZ130" s="47"/>
      <c r="BA130" s="48"/>
      <c r="BB130" s="80"/>
      <c r="BC130" s="47"/>
      <c r="BD130" s="47"/>
      <c r="BE130" s="47"/>
      <c r="BF130" s="47"/>
      <c r="BG130" s="81"/>
      <c r="BH130" s="47"/>
      <c r="BI130" s="47"/>
      <c r="BJ130" s="47"/>
      <c r="BK130" s="56"/>
    </row>
    <row r="131" ht="21.0" customHeight="1">
      <c r="A131" s="78"/>
      <c r="B131" s="44" t="s">
        <v>150</v>
      </c>
      <c r="C131" s="44" t="s">
        <v>205</v>
      </c>
      <c r="D131" s="45">
        <v>45063.0</v>
      </c>
      <c r="E131" s="45">
        <v>45064.0</v>
      </c>
      <c r="F131" s="44" t="s">
        <v>209</v>
      </c>
      <c r="G131" s="44" t="s">
        <v>59</v>
      </c>
      <c r="H131" s="57" t="s">
        <v>27</v>
      </c>
      <c r="I131" s="50"/>
      <c r="J131" s="47"/>
      <c r="K131" s="47"/>
      <c r="L131" s="47"/>
      <c r="M131" s="48"/>
      <c r="N131" s="51"/>
      <c r="O131" s="47"/>
      <c r="P131" s="47"/>
      <c r="Q131" s="47"/>
      <c r="R131" s="48"/>
      <c r="S131" s="50"/>
      <c r="T131" s="47"/>
      <c r="U131" s="47"/>
      <c r="V131" s="47"/>
      <c r="W131" s="48"/>
      <c r="X131" s="61"/>
      <c r="Y131" s="47"/>
      <c r="Z131" s="47"/>
      <c r="AA131" s="47"/>
      <c r="AB131" s="48"/>
      <c r="AC131" s="46">
        <v>250.43</v>
      </c>
      <c r="AD131" s="47"/>
      <c r="AE131" s="47"/>
      <c r="AF131" s="47"/>
      <c r="AG131" s="48"/>
      <c r="AH131" s="69">
        <v>250.43</v>
      </c>
      <c r="AI131" s="47"/>
      <c r="AJ131" s="47"/>
      <c r="AK131" s="47"/>
      <c r="AL131" s="48"/>
      <c r="AM131" s="91"/>
      <c r="AN131" s="47"/>
      <c r="AO131" s="47"/>
      <c r="AP131" s="47"/>
      <c r="AQ131" s="48"/>
      <c r="AR131" s="87"/>
      <c r="AS131" s="47"/>
      <c r="AT131" s="47"/>
      <c r="AU131" s="47"/>
      <c r="AV131" s="47"/>
      <c r="AW131" s="79"/>
      <c r="AX131" s="47"/>
      <c r="AY131" s="47"/>
      <c r="AZ131" s="47"/>
      <c r="BA131" s="48"/>
      <c r="BB131" s="80"/>
      <c r="BC131" s="47"/>
      <c r="BD131" s="47"/>
      <c r="BE131" s="47"/>
      <c r="BF131" s="47"/>
      <c r="BG131" s="81"/>
      <c r="BH131" s="47"/>
      <c r="BI131" s="47"/>
      <c r="BJ131" s="47"/>
      <c r="BK131" s="56"/>
    </row>
    <row r="132" ht="21.0" customHeight="1">
      <c r="A132" s="78"/>
      <c r="B132" s="44" t="s">
        <v>300</v>
      </c>
      <c r="C132" s="44" t="s">
        <v>145</v>
      </c>
      <c r="D132" s="45">
        <v>45082.0</v>
      </c>
      <c r="E132" s="45">
        <v>45084.0</v>
      </c>
      <c r="F132" s="44" t="s">
        <v>284</v>
      </c>
      <c r="G132" s="44" t="s">
        <v>59</v>
      </c>
      <c r="H132" s="44" t="s">
        <v>27</v>
      </c>
      <c r="I132" s="132"/>
      <c r="J132" s="47"/>
      <c r="K132" s="47"/>
      <c r="L132" s="47"/>
      <c r="M132" s="48"/>
      <c r="N132" s="61"/>
      <c r="O132" s="47"/>
      <c r="P132" s="47"/>
      <c r="Q132" s="47"/>
      <c r="R132" s="48"/>
      <c r="S132" s="50"/>
      <c r="T132" s="47"/>
      <c r="U132" s="47"/>
      <c r="V132" s="47"/>
      <c r="W132" s="48"/>
      <c r="X132" s="52"/>
      <c r="Y132" s="47"/>
      <c r="Z132" s="47"/>
      <c r="AA132" s="47"/>
      <c r="AB132" s="48"/>
      <c r="AC132" s="46">
        <v>1416.88</v>
      </c>
      <c r="AD132" s="47"/>
      <c r="AE132" s="47"/>
      <c r="AF132" s="47"/>
      <c r="AG132" s="48"/>
      <c r="AH132" s="82">
        <v>757.88</v>
      </c>
      <c r="AI132" s="47"/>
      <c r="AJ132" s="47"/>
      <c r="AK132" s="47"/>
      <c r="AL132" s="48"/>
      <c r="AM132" s="91"/>
      <c r="AN132" s="47"/>
      <c r="AO132" s="47"/>
      <c r="AP132" s="47"/>
      <c r="AQ132" s="48"/>
      <c r="AR132" s="87"/>
      <c r="AS132" s="47"/>
      <c r="AT132" s="47"/>
      <c r="AU132" s="47"/>
      <c r="AV132" s="47"/>
      <c r="AW132" s="79"/>
      <c r="AX132" s="47"/>
      <c r="AY132" s="47"/>
      <c r="AZ132" s="47"/>
      <c r="BA132" s="48"/>
      <c r="BB132" s="80"/>
      <c r="BC132" s="47"/>
      <c r="BD132" s="47"/>
      <c r="BE132" s="47"/>
      <c r="BF132" s="47"/>
      <c r="BG132" s="81"/>
      <c r="BH132" s="47"/>
      <c r="BI132" s="47"/>
      <c r="BJ132" s="47"/>
      <c r="BK132" s="56"/>
    </row>
    <row r="133" ht="21.0" customHeight="1">
      <c r="A133" s="78"/>
      <c r="B133" s="44" t="s">
        <v>211</v>
      </c>
      <c r="C133" s="44" t="s">
        <v>343</v>
      </c>
      <c r="D133" s="45">
        <v>45050.0</v>
      </c>
      <c r="E133" s="45">
        <v>45050.0</v>
      </c>
      <c r="F133" s="44" t="s">
        <v>137</v>
      </c>
      <c r="G133" s="44" t="s">
        <v>64</v>
      </c>
      <c r="H133" s="44" t="s">
        <v>27</v>
      </c>
      <c r="I133" s="60"/>
      <c r="J133" s="47"/>
      <c r="K133" s="47"/>
      <c r="L133" s="47"/>
      <c r="M133" s="48"/>
      <c r="N133" s="61"/>
      <c r="O133" s="47"/>
      <c r="P133" s="47"/>
      <c r="Q133" s="47"/>
      <c r="R133" s="48"/>
      <c r="S133" s="50"/>
      <c r="T133" s="47"/>
      <c r="U133" s="47"/>
      <c r="V133" s="47"/>
      <c r="W133" s="48"/>
      <c r="X133" s="52"/>
      <c r="Y133" s="47"/>
      <c r="Z133" s="47"/>
      <c r="AA133" s="47"/>
      <c r="AB133" s="48"/>
      <c r="AC133" s="46">
        <v>184.8</v>
      </c>
      <c r="AD133" s="47"/>
      <c r="AE133" s="47"/>
      <c r="AF133" s="47"/>
      <c r="AG133" s="48"/>
      <c r="AH133" s="105">
        <v>184.8</v>
      </c>
      <c r="AI133" s="47"/>
      <c r="AJ133" s="47"/>
      <c r="AK133" s="47"/>
      <c r="AL133" s="48"/>
      <c r="AM133" s="91"/>
      <c r="AN133" s="47"/>
      <c r="AO133" s="47"/>
      <c r="AP133" s="47"/>
      <c r="AQ133" s="48"/>
      <c r="AR133" s="87"/>
      <c r="AS133" s="47"/>
      <c r="AT133" s="47"/>
      <c r="AU133" s="47"/>
      <c r="AV133" s="47"/>
      <c r="AW133" s="79"/>
      <c r="AX133" s="47"/>
      <c r="AY133" s="47"/>
      <c r="AZ133" s="47"/>
      <c r="BA133" s="48"/>
      <c r="BB133" s="80"/>
      <c r="BC133" s="47"/>
      <c r="BD133" s="47"/>
      <c r="BE133" s="47"/>
      <c r="BF133" s="47"/>
      <c r="BG133" s="81"/>
      <c r="BH133" s="47"/>
      <c r="BI133" s="47"/>
      <c r="BJ133" s="47"/>
      <c r="BK133" s="56"/>
    </row>
    <row r="134" ht="21.0" customHeight="1">
      <c r="A134" s="78"/>
      <c r="B134" s="44" t="s">
        <v>267</v>
      </c>
      <c r="C134" s="44" t="s">
        <v>346</v>
      </c>
      <c r="D134" s="45">
        <v>45062.0</v>
      </c>
      <c r="E134" s="45">
        <v>45064.0</v>
      </c>
      <c r="F134" s="44" t="s">
        <v>347</v>
      </c>
      <c r="G134" s="44" t="s">
        <v>59</v>
      </c>
      <c r="H134" s="44" t="s">
        <v>27</v>
      </c>
      <c r="I134" s="50"/>
      <c r="J134" s="47"/>
      <c r="K134" s="47"/>
      <c r="L134" s="47"/>
      <c r="M134" s="48"/>
      <c r="N134" s="52"/>
      <c r="O134" s="47"/>
      <c r="P134" s="47"/>
      <c r="Q134" s="47"/>
      <c r="R134" s="48"/>
      <c r="S134" s="50"/>
      <c r="T134" s="47"/>
      <c r="U134" s="47"/>
      <c r="V134" s="47"/>
      <c r="W134" s="48"/>
      <c r="X134" s="51"/>
      <c r="Y134" s="47"/>
      <c r="Z134" s="47"/>
      <c r="AA134" s="47"/>
      <c r="AB134" s="48"/>
      <c r="AC134" s="46">
        <v>1438.38</v>
      </c>
      <c r="AD134" s="47"/>
      <c r="AE134" s="47"/>
      <c r="AF134" s="47"/>
      <c r="AG134" s="48"/>
      <c r="AH134" s="105">
        <v>1493.84</v>
      </c>
      <c r="AI134" s="47"/>
      <c r="AJ134" s="47"/>
      <c r="AK134" s="47"/>
      <c r="AL134" s="48"/>
      <c r="AM134" s="91"/>
      <c r="AN134" s="47"/>
      <c r="AO134" s="47"/>
      <c r="AP134" s="47"/>
      <c r="AQ134" s="48"/>
      <c r="AR134" s="87"/>
      <c r="AS134" s="47"/>
      <c r="AT134" s="47"/>
      <c r="AU134" s="47"/>
      <c r="AV134" s="47"/>
      <c r="AW134" s="79"/>
      <c r="AX134" s="47"/>
      <c r="AY134" s="47"/>
      <c r="AZ134" s="47"/>
      <c r="BA134" s="48"/>
      <c r="BB134" s="80"/>
      <c r="BC134" s="47"/>
      <c r="BD134" s="47"/>
      <c r="BE134" s="47"/>
      <c r="BF134" s="47"/>
      <c r="BG134" s="81"/>
      <c r="BH134" s="47"/>
      <c r="BI134" s="47"/>
      <c r="BJ134" s="47"/>
      <c r="BK134" s="56"/>
    </row>
    <row r="135" ht="21.0" customHeight="1">
      <c r="A135" s="78"/>
      <c r="B135" s="44" t="s">
        <v>302</v>
      </c>
      <c r="C135" s="44" t="s">
        <v>303</v>
      </c>
      <c r="D135" s="45">
        <v>45081.0</v>
      </c>
      <c r="E135" s="45">
        <v>45088.0</v>
      </c>
      <c r="F135" s="44" t="s">
        <v>284</v>
      </c>
      <c r="G135" s="44" t="s">
        <v>59</v>
      </c>
      <c r="H135" s="44" t="s">
        <v>27</v>
      </c>
      <c r="I135" s="60"/>
      <c r="J135" s="47"/>
      <c r="K135" s="47"/>
      <c r="L135" s="47"/>
      <c r="M135" s="48"/>
      <c r="N135" s="61"/>
      <c r="O135" s="47"/>
      <c r="P135" s="47"/>
      <c r="Q135" s="47"/>
      <c r="R135" s="48"/>
      <c r="S135" s="50"/>
      <c r="T135" s="47"/>
      <c r="U135" s="47"/>
      <c r="V135" s="47"/>
      <c r="W135" s="48"/>
      <c r="X135" s="51"/>
      <c r="Y135" s="47"/>
      <c r="Z135" s="47"/>
      <c r="AA135" s="47"/>
      <c r="AB135" s="48"/>
      <c r="AC135" s="46">
        <v>716.48</v>
      </c>
      <c r="AD135" s="47"/>
      <c r="AE135" s="47"/>
      <c r="AF135" s="47"/>
      <c r="AG135" s="48"/>
      <c r="AH135" s="82">
        <v>716.48</v>
      </c>
      <c r="AI135" s="47"/>
      <c r="AJ135" s="47"/>
      <c r="AK135" s="47"/>
      <c r="AL135" s="48"/>
      <c r="AM135" s="91"/>
      <c r="AN135" s="47"/>
      <c r="AO135" s="47"/>
      <c r="AP135" s="47"/>
      <c r="AQ135" s="48"/>
      <c r="AR135" s="87"/>
      <c r="AS135" s="47"/>
      <c r="AT135" s="47"/>
      <c r="AU135" s="47"/>
      <c r="AV135" s="47"/>
      <c r="AW135" s="79"/>
      <c r="AX135" s="47"/>
      <c r="AY135" s="47"/>
      <c r="AZ135" s="47"/>
      <c r="BA135" s="48"/>
      <c r="BB135" s="80"/>
      <c r="BC135" s="47"/>
      <c r="BD135" s="47"/>
      <c r="BE135" s="47"/>
      <c r="BF135" s="47"/>
      <c r="BG135" s="81"/>
      <c r="BH135" s="47"/>
      <c r="BI135" s="47"/>
      <c r="BJ135" s="47"/>
      <c r="BK135" s="56"/>
    </row>
    <row r="136" ht="21.0" customHeight="1">
      <c r="A136" s="78"/>
      <c r="B136" s="44" t="s">
        <v>17</v>
      </c>
      <c r="C136" s="44" t="s">
        <v>197</v>
      </c>
      <c r="D136" s="102">
        <v>45103.0</v>
      </c>
      <c r="E136" s="45">
        <v>45107.0</v>
      </c>
      <c r="F136" s="44" t="s">
        <v>32</v>
      </c>
      <c r="G136" s="44" t="s">
        <v>26</v>
      </c>
      <c r="H136" s="57" t="s">
        <v>21</v>
      </c>
      <c r="I136" s="50"/>
      <c r="J136" s="47"/>
      <c r="K136" s="47"/>
      <c r="L136" s="47"/>
      <c r="M136" s="48"/>
      <c r="N136" s="61"/>
      <c r="O136" s="47"/>
      <c r="P136" s="47"/>
      <c r="Q136" s="47"/>
      <c r="R136" s="48"/>
      <c r="S136" s="50"/>
      <c r="T136" s="47"/>
      <c r="U136" s="47"/>
      <c r="V136" s="47"/>
      <c r="W136" s="48"/>
      <c r="X136" s="100"/>
      <c r="Y136" s="47"/>
      <c r="Z136" s="47"/>
      <c r="AA136" s="47"/>
      <c r="AB136" s="48"/>
      <c r="AC136" s="46">
        <v>1821.75</v>
      </c>
      <c r="AD136" s="47"/>
      <c r="AE136" s="47"/>
      <c r="AF136" s="47"/>
      <c r="AG136" s="48"/>
      <c r="AH136" s="82" t="s">
        <v>56</v>
      </c>
      <c r="AI136" s="47"/>
      <c r="AJ136" s="47"/>
      <c r="AK136" s="47"/>
      <c r="AL136" s="48"/>
      <c r="AM136" s="91"/>
      <c r="AN136" s="47"/>
      <c r="AO136" s="47"/>
      <c r="AP136" s="47"/>
      <c r="AQ136" s="48"/>
      <c r="AR136" s="87"/>
      <c r="AS136" s="47"/>
      <c r="AT136" s="47"/>
      <c r="AU136" s="47"/>
      <c r="AV136" s="47"/>
      <c r="AW136" s="79"/>
      <c r="AX136" s="47"/>
      <c r="AY136" s="47"/>
      <c r="AZ136" s="47"/>
      <c r="BA136" s="48"/>
      <c r="BB136" s="80"/>
      <c r="BC136" s="47"/>
      <c r="BD136" s="47"/>
      <c r="BE136" s="47"/>
      <c r="BF136" s="47"/>
      <c r="BG136" s="81"/>
      <c r="BH136" s="47"/>
      <c r="BI136" s="47"/>
      <c r="BJ136" s="47"/>
      <c r="BK136" s="56"/>
    </row>
    <row r="137" ht="21.0" customHeight="1">
      <c r="A137" s="78"/>
      <c r="B137" s="44" t="s">
        <v>23</v>
      </c>
      <c r="C137" s="44" t="s">
        <v>190</v>
      </c>
      <c r="D137" s="45">
        <v>45084.0</v>
      </c>
      <c r="E137" s="45">
        <v>45086.0</v>
      </c>
      <c r="F137" s="44" t="s">
        <v>32</v>
      </c>
      <c r="G137" s="44" t="s">
        <v>26</v>
      </c>
      <c r="H137" s="57" t="s">
        <v>21</v>
      </c>
      <c r="I137" s="50"/>
      <c r="J137" s="47"/>
      <c r="K137" s="47"/>
      <c r="L137" s="47"/>
      <c r="M137" s="48"/>
      <c r="N137" s="61"/>
      <c r="O137" s="47"/>
      <c r="P137" s="47"/>
      <c r="Q137" s="47"/>
      <c r="R137" s="48"/>
      <c r="S137" s="50"/>
      <c r="T137" s="47"/>
      <c r="U137" s="47"/>
      <c r="V137" s="47"/>
      <c r="W137" s="48"/>
      <c r="X137" s="100"/>
      <c r="Y137" s="47"/>
      <c r="Z137" s="47"/>
      <c r="AA137" s="47"/>
      <c r="AB137" s="48"/>
      <c r="AC137" s="46">
        <v>1594.97</v>
      </c>
      <c r="AD137" s="47"/>
      <c r="AE137" s="47"/>
      <c r="AF137" s="47"/>
      <c r="AG137" s="48"/>
      <c r="AH137" s="82">
        <v>1665.7</v>
      </c>
      <c r="AI137" s="47"/>
      <c r="AJ137" s="47"/>
      <c r="AK137" s="47"/>
      <c r="AL137" s="48"/>
      <c r="AM137" s="91"/>
      <c r="AN137" s="47"/>
      <c r="AO137" s="47"/>
      <c r="AP137" s="47"/>
      <c r="AQ137" s="48"/>
      <c r="AR137" s="87"/>
      <c r="AS137" s="47"/>
      <c r="AT137" s="47"/>
      <c r="AU137" s="47"/>
      <c r="AV137" s="47"/>
      <c r="AW137" s="79"/>
      <c r="AX137" s="47"/>
      <c r="AY137" s="47"/>
      <c r="AZ137" s="47"/>
      <c r="BA137" s="48"/>
      <c r="BB137" s="80"/>
      <c r="BC137" s="47"/>
      <c r="BD137" s="47"/>
      <c r="BE137" s="47"/>
      <c r="BF137" s="47"/>
      <c r="BG137" s="81"/>
      <c r="BH137" s="47"/>
      <c r="BI137" s="47"/>
      <c r="BJ137" s="47"/>
      <c r="BK137" s="56"/>
    </row>
    <row r="138" ht="21.0" customHeight="1">
      <c r="A138" s="78"/>
      <c r="B138" s="44" t="s">
        <v>263</v>
      </c>
      <c r="C138" s="44" t="s">
        <v>298</v>
      </c>
      <c r="D138" s="45">
        <v>45096.0</v>
      </c>
      <c r="E138" s="45">
        <v>45100.0</v>
      </c>
      <c r="F138" s="44" t="s">
        <v>30</v>
      </c>
      <c r="G138" s="44" t="s">
        <v>84</v>
      </c>
      <c r="H138" s="44" t="s">
        <v>27</v>
      </c>
      <c r="I138" s="60"/>
      <c r="J138" s="47"/>
      <c r="K138" s="47"/>
      <c r="L138" s="47"/>
      <c r="M138" s="48"/>
      <c r="N138" s="61"/>
      <c r="O138" s="47"/>
      <c r="P138" s="47"/>
      <c r="Q138" s="47"/>
      <c r="R138" s="48"/>
      <c r="S138" s="50"/>
      <c r="T138" s="47"/>
      <c r="U138" s="47"/>
      <c r="V138" s="47"/>
      <c r="W138" s="48"/>
      <c r="X138" s="51"/>
      <c r="Y138" s="47"/>
      <c r="Z138" s="47"/>
      <c r="AA138" s="47"/>
      <c r="AB138" s="48"/>
      <c r="AC138" s="46">
        <v>1539.47</v>
      </c>
      <c r="AD138" s="47"/>
      <c r="AE138" s="47"/>
      <c r="AF138" s="47"/>
      <c r="AG138" s="48"/>
      <c r="AH138" s="82">
        <v>1678.68</v>
      </c>
      <c r="AI138" s="47"/>
      <c r="AJ138" s="47"/>
      <c r="AK138" s="47"/>
      <c r="AL138" s="48"/>
      <c r="AM138" s="91"/>
      <c r="AN138" s="47"/>
      <c r="AO138" s="47"/>
      <c r="AP138" s="47"/>
      <c r="AQ138" s="48"/>
      <c r="AR138" s="87"/>
      <c r="AS138" s="47"/>
      <c r="AT138" s="47"/>
      <c r="AU138" s="47"/>
      <c r="AV138" s="47"/>
      <c r="AW138" s="79"/>
      <c r="AX138" s="47"/>
      <c r="AY138" s="47"/>
      <c r="AZ138" s="47"/>
      <c r="BA138" s="48"/>
      <c r="BB138" s="80"/>
      <c r="BC138" s="47"/>
      <c r="BD138" s="47"/>
      <c r="BE138" s="47"/>
      <c r="BF138" s="47"/>
      <c r="BG138" s="81"/>
      <c r="BH138" s="47"/>
      <c r="BI138" s="47"/>
      <c r="BJ138" s="47"/>
      <c r="BK138" s="56"/>
    </row>
    <row r="139" ht="21.0" customHeight="1">
      <c r="A139" s="78"/>
      <c r="B139" s="44" t="s">
        <v>144</v>
      </c>
      <c r="C139" s="44" t="s">
        <v>205</v>
      </c>
      <c r="D139" s="102">
        <v>45082.0</v>
      </c>
      <c r="E139" s="45">
        <v>45085.0</v>
      </c>
      <c r="F139" s="44" t="s">
        <v>206</v>
      </c>
      <c r="G139" s="44" t="s">
        <v>59</v>
      </c>
      <c r="H139" s="44" t="s">
        <v>27</v>
      </c>
      <c r="I139" s="60"/>
      <c r="J139" s="47"/>
      <c r="K139" s="47"/>
      <c r="L139" s="47"/>
      <c r="M139" s="48"/>
      <c r="N139" s="61"/>
      <c r="O139" s="47"/>
      <c r="P139" s="47"/>
      <c r="Q139" s="47"/>
      <c r="R139" s="47"/>
      <c r="S139" s="50"/>
      <c r="T139" s="47"/>
      <c r="U139" s="47"/>
      <c r="V139" s="47"/>
      <c r="W139" s="48"/>
      <c r="X139" s="61"/>
      <c r="Y139" s="47"/>
      <c r="Z139" s="47"/>
      <c r="AA139" s="47"/>
      <c r="AB139" s="48"/>
      <c r="AC139" s="46">
        <v>998.47</v>
      </c>
      <c r="AD139" s="47"/>
      <c r="AE139" s="47"/>
      <c r="AF139" s="47"/>
      <c r="AG139" s="48"/>
      <c r="AH139" s="69">
        <v>998.47</v>
      </c>
      <c r="AI139" s="47"/>
      <c r="AJ139" s="47"/>
      <c r="AK139" s="47"/>
      <c r="AL139" s="48"/>
      <c r="AM139" s="91"/>
      <c r="AN139" s="47"/>
      <c r="AO139" s="47"/>
      <c r="AP139" s="47"/>
      <c r="AQ139" s="48"/>
      <c r="AR139" s="87"/>
      <c r="AS139" s="47"/>
      <c r="AT139" s="47"/>
      <c r="AU139" s="47"/>
      <c r="AV139" s="47"/>
      <c r="AW139" s="79"/>
      <c r="AX139" s="47"/>
      <c r="AY139" s="47"/>
      <c r="AZ139" s="47"/>
      <c r="BA139" s="48"/>
      <c r="BB139" s="80"/>
      <c r="BC139" s="47"/>
      <c r="BD139" s="47"/>
      <c r="BE139" s="47"/>
      <c r="BF139" s="47"/>
      <c r="BG139" s="81"/>
      <c r="BH139" s="47"/>
      <c r="BI139" s="47"/>
      <c r="BJ139" s="47"/>
      <c r="BK139" s="56"/>
    </row>
    <row r="140" ht="21.0" customHeight="1">
      <c r="A140" s="78"/>
      <c r="B140" s="119" t="s">
        <v>162</v>
      </c>
      <c r="C140" s="119" t="s">
        <v>293</v>
      </c>
      <c r="D140" s="120">
        <v>45097.0</v>
      </c>
      <c r="E140" s="120">
        <v>45100.0</v>
      </c>
      <c r="F140" s="119" t="s">
        <v>294</v>
      </c>
      <c r="G140" s="119" t="s">
        <v>84</v>
      </c>
      <c r="H140" s="121" t="s">
        <v>124</v>
      </c>
      <c r="I140" s="60"/>
      <c r="J140" s="47"/>
      <c r="K140" s="47"/>
      <c r="L140" s="47"/>
      <c r="M140" s="48"/>
      <c r="N140" s="61"/>
      <c r="O140" s="47"/>
      <c r="P140" s="47"/>
      <c r="Q140" s="47"/>
      <c r="R140" s="48"/>
      <c r="S140" s="50"/>
      <c r="T140" s="47"/>
      <c r="U140" s="47"/>
      <c r="V140" s="47"/>
      <c r="W140" s="48"/>
      <c r="X140" s="52"/>
      <c r="Y140" s="47"/>
      <c r="Z140" s="47"/>
      <c r="AA140" s="47"/>
      <c r="AB140" s="48"/>
      <c r="AC140" s="46">
        <v>745.46</v>
      </c>
      <c r="AD140" s="47"/>
      <c r="AE140" s="47"/>
      <c r="AF140" s="47"/>
      <c r="AG140" s="48"/>
      <c r="AH140" s="69">
        <v>514.14</v>
      </c>
      <c r="AI140" s="47"/>
      <c r="AJ140" s="47"/>
      <c r="AK140" s="47"/>
      <c r="AL140" s="48"/>
      <c r="AM140" s="91"/>
      <c r="AN140" s="47"/>
      <c r="AO140" s="47"/>
      <c r="AP140" s="47"/>
      <c r="AQ140" s="48"/>
      <c r="AR140" s="87"/>
      <c r="AS140" s="47"/>
      <c r="AT140" s="47"/>
      <c r="AU140" s="47"/>
      <c r="AV140" s="47"/>
      <c r="AW140" s="79"/>
      <c r="AX140" s="47"/>
      <c r="AY140" s="47"/>
      <c r="AZ140" s="47"/>
      <c r="BA140" s="48"/>
      <c r="BB140" s="80"/>
      <c r="BC140" s="47"/>
      <c r="BD140" s="47"/>
      <c r="BE140" s="47"/>
      <c r="BF140" s="47"/>
      <c r="BG140" s="81"/>
      <c r="BH140" s="47"/>
      <c r="BI140" s="47"/>
      <c r="BJ140" s="47"/>
      <c r="BK140" s="56"/>
    </row>
    <row r="141" ht="21.0" customHeight="1">
      <c r="A141" s="78"/>
      <c r="B141" s="44" t="s">
        <v>252</v>
      </c>
      <c r="C141" s="44" t="s">
        <v>253</v>
      </c>
      <c r="D141" s="45">
        <v>45097.0</v>
      </c>
      <c r="E141" s="45">
        <v>45099.0</v>
      </c>
      <c r="F141" s="44" t="s">
        <v>155</v>
      </c>
      <c r="G141" s="44" t="s">
        <v>59</v>
      </c>
      <c r="H141" s="57" t="s">
        <v>27</v>
      </c>
      <c r="I141" s="50"/>
      <c r="J141" s="47"/>
      <c r="K141" s="47"/>
      <c r="L141" s="47"/>
      <c r="M141" s="48"/>
      <c r="N141" s="51"/>
      <c r="O141" s="47"/>
      <c r="P141" s="47"/>
      <c r="Q141" s="47"/>
      <c r="R141" s="48"/>
      <c r="S141" s="50"/>
      <c r="T141" s="47"/>
      <c r="U141" s="47"/>
      <c r="V141" s="47"/>
      <c r="W141" s="48"/>
      <c r="X141" s="61"/>
      <c r="Y141" s="47"/>
      <c r="Z141" s="47"/>
      <c r="AA141" s="47"/>
      <c r="AB141" s="48"/>
      <c r="AC141" s="46">
        <v>516.24</v>
      </c>
      <c r="AD141" s="47"/>
      <c r="AE141" s="47"/>
      <c r="AF141" s="47"/>
      <c r="AG141" s="48"/>
      <c r="AH141" s="69">
        <v>496.24</v>
      </c>
      <c r="AI141" s="47"/>
      <c r="AJ141" s="47"/>
      <c r="AK141" s="47"/>
      <c r="AL141" s="48"/>
      <c r="AM141" s="91"/>
      <c r="AN141" s="47"/>
      <c r="AO141" s="47"/>
      <c r="AP141" s="47"/>
      <c r="AQ141" s="48"/>
      <c r="AR141" s="87"/>
      <c r="AS141" s="47"/>
      <c r="AT141" s="47"/>
      <c r="AU141" s="47"/>
      <c r="AV141" s="47"/>
      <c r="AW141" s="79"/>
      <c r="AX141" s="47"/>
      <c r="AY141" s="47"/>
      <c r="AZ141" s="47"/>
      <c r="BA141" s="48"/>
      <c r="BB141" s="80"/>
      <c r="BC141" s="47"/>
      <c r="BD141" s="47"/>
      <c r="BE141" s="47"/>
      <c r="BF141" s="47"/>
      <c r="BG141" s="81"/>
      <c r="BH141" s="47"/>
      <c r="BI141" s="47"/>
      <c r="BJ141" s="47"/>
      <c r="BK141" s="56"/>
    </row>
    <row r="142" ht="21.0" customHeight="1">
      <c r="A142" s="78"/>
      <c r="B142" s="44" t="s">
        <v>305</v>
      </c>
      <c r="C142" s="44" t="s">
        <v>145</v>
      </c>
      <c r="D142" s="45">
        <v>45082.0</v>
      </c>
      <c r="E142" s="45">
        <v>45085.0</v>
      </c>
      <c r="F142" s="44" t="s">
        <v>284</v>
      </c>
      <c r="G142" s="44" t="s">
        <v>59</v>
      </c>
      <c r="H142" s="44" t="s">
        <v>27</v>
      </c>
      <c r="I142" s="60"/>
      <c r="J142" s="47"/>
      <c r="K142" s="47"/>
      <c r="L142" s="47"/>
      <c r="M142" s="48"/>
      <c r="N142" s="61"/>
      <c r="O142" s="47"/>
      <c r="P142" s="47"/>
      <c r="Q142" s="47"/>
      <c r="R142" s="48"/>
      <c r="S142" s="50"/>
      <c r="T142" s="47"/>
      <c r="U142" s="47"/>
      <c r="V142" s="47"/>
      <c r="W142" s="48"/>
      <c r="X142" s="51"/>
      <c r="Y142" s="47"/>
      <c r="Z142" s="47"/>
      <c r="AA142" s="47"/>
      <c r="AB142" s="48"/>
      <c r="AC142" s="46">
        <v>1042.36</v>
      </c>
      <c r="AD142" s="47"/>
      <c r="AE142" s="47"/>
      <c r="AF142" s="47"/>
      <c r="AG142" s="48"/>
      <c r="AH142" s="82">
        <v>1058.83</v>
      </c>
      <c r="AI142" s="47"/>
      <c r="AJ142" s="47"/>
      <c r="AK142" s="47"/>
      <c r="AL142" s="48"/>
      <c r="AM142" s="91"/>
      <c r="AN142" s="47"/>
      <c r="AO142" s="47"/>
      <c r="AP142" s="47"/>
      <c r="AQ142" s="48"/>
      <c r="AR142" s="87"/>
      <c r="AS142" s="47"/>
      <c r="AT142" s="47"/>
      <c r="AU142" s="47"/>
      <c r="AV142" s="47"/>
      <c r="AW142" s="79"/>
      <c r="AX142" s="47"/>
      <c r="AY142" s="47"/>
      <c r="AZ142" s="47"/>
      <c r="BA142" s="48"/>
      <c r="BB142" s="80"/>
      <c r="BC142" s="47"/>
      <c r="BD142" s="47"/>
      <c r="BE142" s="47"/>
      <c r="BF142" s="47"/>
      <c r="BG142" s="81"/>
      <c r="BH142" s="47"/>
      <c r="BI142" s="47"/>
      <c r="BJ142" s="47"/>
      <c r="BK142" s="56"/>
    </row>
    <row r="143" ht="21.0" customHeight="1">
      <c r="A143" s="78"/>
      <c r="B143" s="44" t="s">
        <v>99</v>
      </c>
      <c r="C143" s="44" t="s">
        <v>188</v>
      </c>
      <c r="D143" s="45">
        <v>45096.0</v>
      </c>
      <c r="E143" s="45">
        <v>45100.0</v>
      </c>
      <c r="F143" s="44" t="s">
        <v>30</v>
      </c>
      <c r="G143" s="44" t="s">
        <v>59</v>
      </c>
      <c r="H143" s="44" t="s">
        <v>27</v>
      </c>
      <c r="I143" s="60"/>
      <c r="J143" s="47"/>
      <c r="K143" s="47"/>
      <c r="L143" s="47"/>
      <c r="M143" s="48"/>
      <c r="N143" s="61"/>
      <c r="O143" s="47"/>
      <c r="P143" s="47"/>
      <c r="Q143" s="47"/>
      <c r="R143" s="48"/>
      <c r="S143" s="50"/>
      <c r="T143" s="47"/>
      <c r="U143" s="47"/>
      <c r="V143" s="47"/>
      <c r="W143" s="48"/>
      <c r="X143" s="51"/>
      <c r="Y143" s="47"/>
      <c r="Z143" s="47"/>
      <c r="AA143" s="47"/>
      <c r="AB143" s="48"/>
      <c r="AC143" s="46">
        <v>1838.07</v>
      </c>
      <c r="AD143" s="47"/>
      <c r="AE143" s="47"/>
      <c r="AF143" s="47"/>
      <c r="AG143" s="48"/>
      <c r="AH143" s="82">
        <v>1830.12</v>
      </c>
      <c r="AI143" s="47"/>
      <c r="AJ143" s="47"/>
      <c r="AK143" s="47"/>
      <c r="AL143" s="48"/>
      <c r="AM143" s="91"/>
      <c r="AN143" s="47"/>
      <c r="AO143" s="47"/>
      <c r="AP143" s="47"/>
      <c r="AQ143" s="48"/>
      <c r="AR143" s="87"/>
      <c r="AS143" s="47"/>
      <c r="AT143" s="47"/>
      <c r="AU143" s="47"/>
      <c r="AV143" s="47"/>
      <c r="AW143" s="79"/>
      <c r="AX143" s="47"/>
      <c r="AY143" s="47"/>
      <c r="AZ143" s="47"/>
      <c r="BA143" s="48"/>
      <c r="BB143" s="80"/>
      <c r="BC143" s="47"/>
      <c r="BD143" s="47"/>
      <c r="BE143" s="47"/>
      <c r="BF143" s="47"/>
      <c r="BG143" s="81"/>
      <c r="BH143" s="47"/>
      <c r="BI143" s="47"/>
      <c r="BJ143" s="47"/>
      <c r="BK143" s="56"/>
    </row>
    <row r="144" ht="21.0" customHeight="1">
      <c r="A144" s="78"/>
      <c r="B144" s="44" t="s">
        <v>93</v>
      </c>
      <c r="C144" s="44" t="s">
        <v>179</v>
      </c>
      <c r="D144" s="45">
        <v>45048.0</v>
      </c>
      <c r="E144" s="45">
        <v>45049.0</v>
      </c>
      <c r="F144" s="44" t="s">
        <v>180</v>
      </c>
      <c r="G144" s="44" t="s">
        <v>26</v>
      </c>
      <c r="H144" s="57" t="s">
        <v>60</v>
      </c>
      <c r="I144" s="50"/>
      <c r="J144" s="47"/>
      <c r="K144" s="47"/>
      <c r="L144" s="47"/>
      <c r="M144" s="48"/>
      <c r="N144" s="61"/>
      <c r="O144" s="47"/>
      <c r="P144" s="47"/>
      <c r="Q144" s="47"/>
      <c r="R144" s="48"/>
      <c r="S144" s="50"/>
      <c r="T144" s="47"/>
      <c r="U144" s="47"/>
      <c r="V144" s="47"/>
      <c r="W144" s="48"/>
      <c r="X144" s="100"/>
      <c r="Y144" s="47"/>
      <c r="Z144" s="47"/>
      <c r="AA144" s="47"/>
      <c r="AB144" s="48"/>
      <c r="AC144" s="46" t="s">
        <v>56</v>
      </c>
      <c r="AD144" s="47"/>
      <c r="AE144" s="47"/>
      <c r="AF144" s="47"/>
      <c r="AG144" s="48"/>
      <c r="AH144" s="82">
        <v>114.68</v>
      </c>
      <c r="AI144" s="47"/>
      <c r="AJ144" s="47"/>
      <c r="AK144" s="47"/>
      <c r="AL144" s="48"/>
      <c r="AM144" s="91"/>
      <c r="AN144" s="47"/>
      <c r="AO144" s="47"/>
      <c r="AP144" s="47"/>
      <c r="AQ144" s="48"/>
      <c r="AR144" s="87"/>
      <c r="AS144" s="47"/>
      <c r="AT144" s="47"/>
      <c r="AU144" s="47"/>
      <c r="AV144" s="47"/>
      <c r="AW144" s="79"/>
      <c r="AX144" s="47"/>
      <c r="AY144" s="47"/>
      <c r="AZ144" s="47"/>
      <c r="BA144" s="48"/>
      <c r="BB144" s="80"/>
      <c r="BC144" s="47"/>
      <c r="BD144" s="47"/>
      <c r="BE144" s="47"/>
      <c r="BF144" s="47"/>
      <c r="BG144" s="81"/>
      <c r="BH144" s="47"/>
      <c r="BI144" s="47"/>
      <c r="BJ144" s="47"/>
      <c r="BK144" s="56"/>
    </row>
    <row r="145" ht="21.0" customHeight="1">
      <c r="A145" s="78"/>
      <c r="B145" s="44" t="s">
        <v>183</v>
      </c>
      <c r="C145" s="44" t="s">
        <v>179</v>
      </c>
      <c r="D145" s="45">
        <v>45049.0</v>
      </c>
      <c r="E145" s="45">
        <v>45050.0</v>
      </c>
      <c r="F145" s="44" t="s">
        <v>180</v>
      </c>
      <c r="G145" s="44" t="s">
        <v>26</v>
      </c>
      <c r="H145" s="57" t="s">
        <v>60</v>
      </c>
      <c r="I145" s="50"/>
      <c r="J145" s="47"/>
      <c r="K145" s="47"/>
      <c r="L145" s="47"/>
      <c r="M145" s="48"/>
      <c r="N145" s="61"/>
      <c r="O145" s="47"/>
      <c r="P145" s="47"/>
      <c r="Q145" s="47"/>
      <c r="R145" s="48"/>
      <c r="S145" s="50"/>
      <c r="T145" s="47"/>
      <c r="U145" s="47"/>
      <c r="V145" s="47"/>
      <c r="W145" s="48"/>
      <c r="X145" s="100"/>
      <c r="Y145" s="47"/>
      <c r="Z145" s="47"/>
      <c r="AA145" s="47"/>
      <c r="AB145" s="48"/>
      <c r="AC145" s="46" t="s">
        <v>56</v>
      </c>
      <c r="AD145" s="47"/>
      <c r="AE145" s="47"/>
      <c r="AF145" s="47"/>
      <c r="AG145" s="48"/>
      <c r="AH145" s="82">
        <v>51.62</v>
      </c>
      <c r="AI145" s="47"/>
      <c r="AJ145" s="47"/>
      <c r="AK145" s="47"/>
      <c r="AL145" s="48"/>
      <c r="AM145" s="91"/>
      <c r="AN145" s="47"/>
      <c r="AO145" s="47"/>
      <c r="AP145" s="47"/>
      <c r="AQ145" s="48"/>
      <c r="AR145" s="87"/>
      <c r="AS145" s="47"/>
      <c r="AT145" s="47"/>
      <c r="AU145" s="47"/>
      <c r="AV145" s="47"/>
      <c r="AW145" s="79"/>
      <c r="AX145" s="47"/>
      <c r="AY145" s="47"/>
      <c r="AZ145" s="47"/>
      <c r="BA145" s="48"/>
      <c r="BB145" s="80"/>
      <c r="BC145" s="47"/>
      <c r="BD145" s="47"/>
      <c r="BE145" s="47"/>
      <c r="BF145" s="47"/>
      <c r="BG145" s="81"/>
      <c r="BH145" s="47"/>
      <c r="BI145" s="47"/>
      <c r="BJ145" s="47"/>
      <c r="BK145" s="56"/>
    </row>
    <row r="146" ht="21.0" customHeight="1">
      <c r="A146" s="78"/>
      <c r="B146" s="44" t="s">
        <v>42</v>
      </c>
      <c r="C146" s="44" t="s">
        <v>58</v>
      </c>
      <c r="D146" s="45">
        <v>45056.0</v>
      </c>
      <c r="E146" s="45">
        <v>45056.0</v>
      </c>
      <c r="F146" s="44" t="s">
        <v>30</v>
      </c>
      <c r="G146" s="44" t="s">
        <v>59</v>
      </c>
      <c r="H146" s="44" t="s">
        <v>60</v>
      </c>
      <c r="I146" s="60"/>
      <c r="J146" s="47"/>
      <c r="K146" s="47"/>
      <c r="L146" s="47"/>
      <c r="M146" s="48"/>
      <c r="N146" s="61"/>
      <c r="O146" s="47"/>
      <c r="P146" s="47"/>
      <c r="Q146" s="47"/>
      <c r="R146" s="48"/>
      <c r="S146" s="50"/>
      <c r="T146" s="47"/>
      <c r="U146" s="47"/>
      <c r="V146" s="47"/>
      <c r="W146" s="48"/>
      <c r="X146" s="51"/>
      <c r="Y146" s="47"/>
      <c r="Z146" s="47"/>
      <c r="AA146" s="47"/>
      <c r="AB146" s="48"/>
      <c r="AC146" s="46" t="s">
        <v>56</v>
      </c>
      <c r="AD146" s="47"/>
      <c r="AE146" s="47"/>
      <c r="AF146" s="47"/>
      <c r="AG146" s="48"/>
      <c r="AH146" s="49">
        <v>23.83</v>
      </c>
      <c r="AI146" s="47"/>
      <c r="AJ146" s="47"/>
      <c r="AK146" s="47"/>
      <c r="AL146" s="48"/>
      <c r="AM146" s="91"/>
      <c r="AN146" s="47"/>
      <c r="AO146" s="47"/>
      <c r="AP146" s="47"/>
      <c r="AQ146" s="48"/>
      <c r="AR146" s="87"/>
      <c r="AS146" s="47"/>
      <c r="AT146" s="47"/>
      <c r="AU146" s="47"/>
      <c r="AV146" s="47"/>
      <c r="AW146" s="79"/>
      <c r="AX146" s="47"/>
      <c r="AY146" s="47"/>
      <c r="AZ146" s="47"/>
      <c r="BA146" s="48"/>
      <c r="BB146" s="80"/>
      <c r="BC146" s="47"/>
      <c r="BD146" s="47"/>
      <c r="BE146" s="47"/>
      <c r="BF146" s="47"/>
      <c r="BG146" s="81"/>
      <c r="BH146" s="47"/>
      <c r="BI146" s="47"/>
      <c r="BJ146" s="47"/>
      <c r="BK146" s="56"/>
    </row>
    <row r="147" ht="21.0" customHeight="1">
      <c r="A147" s="78"/>
      <c r="B147" s="44" t="s">
        <v>230</v>
      </c>
      <c r="C147" s="44" t="s">
        <v>240</v>
      </c>
      <c r="D147" s="45">
        <v>45033.0</v>
      </c>
      <c r="E147" s="45">
        <v>45037.0</v>
      </c>
      <c r="F147" s="44" t="s">
        <v>241</v>
      </c>
      <c r="G147" s="44" t="s">
        <v>195</v>
      </c>
      <c r="H147" s="44" t="s">
        <v>60</v>
      </c>
      <c r="I147" s="132"/>
      <c r="J147" s="47"/>
      <c r="K147" s="47"/>
      <c r="L147" s="47"/>
      <c r="M147" s="48"/>
      <c r="N147" s="61"/>
      <c r="O147" s="47"/>
      <c r="P147" s="47"/>
      <c r="Q147" s="47"/>
      <c r="R147" s="48"/>
      <c r="S147" s="50"/>
      <c r="T147" s="47"/>
      <c r="U147" s="47"/>
      <c r="V147" s="47"/>
      <c r="W147" s="48"/>
      <c r="X147" s="52"/>
      <c r="Y147" s="47"/>
      <c r="Z147" s="47"/>
      <c r="AA147" s="47"/>
      <c r="AB147" s="48"/>
      <c r="AC147" s="46" t="s">
        <v>56</v>
      </c>
      <c r="AD147" s="47"/>
      <c r="AE147" s="47"/>
      <c r="AF147" s="47"/>
      <c r="AG147" s="48"/>
      <c r="AH147" s="82">
        <v>137.8</v>
      </c>
      <c r="AI147" s="47"/>
      <c r="AJ147" s="47"/>
      <c r="AK147" s="47"/>
      <c r="AL147" s="48"/>
      <c r="AM147" s="91"/>
      <c r="AN147" s="47"/>
      <c r="AO147" s="47"/>
      <c r="AP147" s="47"/>
      <c r="AQ147" s="48"/>
      <c r="AR147" s="87"/>
      <c r="AS147" s="47"/>
      <c r="AT147" s="47"/>
      <c r="AU147" s="47"/>
      <c r="AV147" s="47"/>
      <c r="AW147" s="79"/>
      <c r="AX147" s="47"/>
      <c r="AY147" s="47"/>
      <c r="AZ147" s="47"/>
      <c r="BA147" s="48"/>
      <c r="BB147" s="80"/>
      <c r="BC147" s="47"/>
      <c r="BD147" s="47"/>
      <c r="BE147" s="47"/>
      <c r="BF147" s="47"/>
      <c r="BG147" s="81"/>
      <c r="BH147" s="47"/>
      <c r="BI147" s="47"/>
      <c r="BJ147" s="47"/>
      <c r="BK147" s="56"/>
    </row>
    <row r="148" ht="21.0" customHeight="1">
      <c r="A148" s="78"/>
      <c r="B148" s="44" t="s">
        <v>248</v>
      </c>
      <c r="C148" s="44" t="s">
        <v>306</v>
      </c>
      <c r="D148" s="45">
        <v>45082.0</v>
      </c>
      <c r="E148" s="45">
        <v>45086.0</v>
      </c>
      <c r="F148" s="44" t="s">
        <v>284</v>
      </c>
      <c r="G148" s="44" t="s">
        <v>59</v>
      </c>
      <c r="H148" s="44" t="s">
        <v>60</v>
      </c>
      <c r="I148" s="60"/>
      <c r="J148" s="47"/>
      <c r="K148" s="47"/>
      <c r="L148" s="47"/>
      <c r="M148" s="48"/>
      <c r="N148" s="61"/>
      <c r="O148" s="47"/>
      <c r="P148" s="47"/>
      <c r="Q148" s="47"/>
      <c r="R148" s="48"/>
      <c r="S148" s="50"/>
      <c r="T148" s="47"/>
      <c r="U148" s="47"/>
      <c r="V148" s="47"/>
      <c r="W148" s="48"/>
      <c r="X148" s="51"/>
      <c r="Y148" s="47"/>
      <c r="Z148" s="47"/>
      <c r="AA148" s="47"/>
      <c r="AB148" s="48"/>
      <c r="AC148" s="46" t="s">
        <v>56</v>
      </c>
      <c r="AD148" s="47"/>
      <c r="AE148" s="47"/>
      <c r="AF148" s="47"/>
      <c r="AG148" s="48"/>
      <c r="AH148" s="82">
        <v>148.28</v>
      </c>
      <c r="AI148" s="47"/>
      <c r="AJ148" s="47"/>
      <c r="AK148" s="47"/>
      <c r="AL148" s="48"/>
      <c r="AM148" s="91"/>
      <c r="AN148" s="47"/>
      <c r="AO148" s="47"/>
      <c r="AP148" s="47"/>
      <c r="AQ148" s="48"/>
      <c r="AR148" s="87"/>
      <c r="AS148" s="47"/>
      <c r="AT148" s="47"/>
      <c r="AU148" s="47"/>
      <c r="AV148" s="47"/>
      <c r="AW148" s="79"/>
      <c r="AX148" s="47"/>
      <c r="AY148" s="47"/>
      <c r="AZ148" s="47"/>
      <c r="BA148" s="48"/>
      <c r="BB148" s="80"/>
      <c r="BC148" s="47"/>
      <c r="BD148" s="47"/>
      <c r="BE148" s="47"/>
      <c r="BF148" s="47"/>
      <c r="BG148" s="81"/>
      <c r="BH148" s="47"/>
      <c r="BI148" s="47"/>
      <c r="BJ148" s="47"/>
      <c r="BK148" s="56"/>
    </row>
    <row r="149" ht="21.0" customHeight="1">
      <c r="A149" s="78"/>
      <c r="B149" s="44" t="s">
        <v>17</v>
      </c>
      <c r="C149" s="44" t="s">
        <v>62</v>
      </c>
      <c r="D149" s="45">
        <v>45097.0</v>
      </c>
      <c r="E149" s="45">
        <v>45099.0</v>
      </c>
      <c r="F149" s="44" t="s">
        <v>30</v>
      </c>
      <c r="G149" s="44" t="s">
        <v>59</v>
      </c>
      <c r="H149" s="44" t="s">
        <v>60</v>
      </c>
      <c r="I149" s="60"/>
      <c r="J149" s="47"/>
      <c r="K149" s="47"/>
      <c r="L149" s="47"/>
      <c r="M149" s="48"/>
      <c r="N149" s="61"/>
      <c r="O149" s="47"/>
      <c r="P149" s="47"/>
      <c r="Q149" s="47"/>
      <c r="R149" s="48"/>
      <c r="S149" s="50"/>
      <c r="T149" s="47"/>
      <c r="U149" s="47"/>
      <c r="V149" s="47"/>
      <c r="W149" s="48"/>
      <c r="X149" s="51"/>
      <c r="Y149" s="47"/>
      <c r="Z149" s="47"/>
      <c r="AA149" s="47"/>
      <c r="AB149" s="48"/>
      <c r="AC149" s="46" t="s">
        <v>56</v>
      </c>
      <c r="AD149" s="47"/>
      <c r="AE149" s="47"/>
      <c r="AF149" s="47"/>
      <c r="AG149" s="48"/>
      <c r="AH149" s="49">
        <v>260.88</v>
      </c>
      <c r="AI149" s="47"/>
      <c r="AJ149" s="47"/>
      <c r="AK149" s="47"/>
      <c r="AL149" s="48"/>
      <c r="AM149" s="91"/>
      <c r="AN149" s="47"/>
      <c r="AO149" s="47"/>
      <c r="AP149" s="47"/>
      <c r="AQ149" s="48"/>
      <c r="AR149" s="87"/>
      <c r="AS149" s="47"/>
      <c r="AT149" s="47"/>
      <c r="AU149" s="47"/>
      <c r="AV149" s="47"/>
      <c r="AW149" s="79"/>
      <c r="AX149" s="47"/>
      <c r="AY149" s="47"/>
      <c r="AZ149" s="47"/>
      <c r="BA149" s="48"/>
      <c r="BB149" s="80"/>
      <c r="BC149" s="47"/>
      <c r="BD149" s="47"/>
      <c r="BE149" s="47"/>
      <c r="BF149" s="47"/>
      <c r="BG149" s="81"/>
      <c r="BH149" s="47"/>
      <c r="BI149" s="47"/>
      <c r="BJ149" s="47"/>
      <c r="BK149" s="56"/>
    </row>
    <row r="150" ht="21.0" customHeight="1">
      <c r="A150" s="78"/>
      <c r="B150" s="44" t="s">
        <v>42</v>
      </c>
      <c r="C150" s="44" t="s">
        <v>62</v>
      </c>
      <c r="D150" s="45">
        <v>45097.0</v>
      </c>
      <c r="E150" s="45">
        <v>45099.0</v>
      </c>
      <c r="F150" s="44" t="s">
        <v>30</v>
      </c>
      <c r="G150" s="44" t="s">
        <v>59</v>
      </c>
      <c r="H150" s="44" t="s">
        <v>60</v>
      </c>
      <c r="I150" s="60"/>
      <c r="J150" s="47"/>
      <c r="K150" s="47"/>
      <c r="L150" s="47"/>
      <c r="M150" s="48"/>
      <c r="N150" s="61"/>
      <c r="O150" s="47"/>
      <c r="P150" s="47"/>
      <c r="Q150" s="47"/>
      <c r="R150" s="48"/>
      <c r="S150" s="50"/>
      <c r="T150" s="47"/>
      <c r="U150" s="47"/>
      <c r="V150" s="47"/>
      <c r="W150" s="48"/>
      <c r="X150" s="51"/>
      <c r="Y150" s="47"/>
      <c r="Z150" s="47"/>
      <c r="AA150" s="47"/>
      <c r="AB150" s="48"/>
      <c r="AC150" s="46" t="s">
        <v>56</v>
      </c>
      <c r="AD150" s="47"/>
      <c r="AE150" s="47"/>
      <c r="AF150" s="47"/>
      <c r="AG150" s="48"/>
      <c r="AH150" s="49">
        <v>176.82</v>
      </c>
      <c r="AI150" s="47"/>
      <c r="AJ150" s="47"/>
      <c r="AK150" s="47"/>
      <c r="AL150" s="48"/>
      <c r="AM150" s="91"/>
      <c r="AN150" s="47"/>
      <c r="AO150" s="47"/>
      <c r="AP150" s="47"/>
      <c r="AQ150" s="48"/>
      <c r="AR150" s="87"/>
      <c r="AS150" s="47"/>
      <c r="AT150" s="47"/>
      <c r="AU150" s="47"/>
      <c r="AV150" s="47"/>
      <c r="AW150" s="79"/>
      <c r="AX150" s="47"/>
      <c r="AY150" s="47"/>
      <c r="AZ150" s="47"/>
      <c r="BA150" s="48"/>
      <c r="BB150" s="80"/>
      <c r="BC150" s="47"/>
      <c r="BD150" s="47"/>
      <c r="BE150" s="47"/>
      <c r="BF150" s="47"/>
      <c r="BG150" s="81"/>
      <c r="BH150" s="47"/>
      <c r="BI150" s="47"/>
      <c r="BJ150" s="47"/>
      <c r="BK150" s="56"/>
    </row>
    <row r="151" ht="21.0" customHeight="1">
      <c r="A151" s="78"/>
      <c r="B151" s="44" t="s">
        <v>51</v>
      </c>
      <c r="C151" s="44" t="s">
        <v>102</v>
      </c>
      <c r="D151" s="45">
        <v>45046.0</v>
      </c>
      <c r="E151" s="45">
        <v>45051.0</v>
      </c>
      <c r="F151" s="44" t="s">
        <v>50</v>
      </c>
      <c r="G151" s="44" t="s">
        <v>26</v>
      </c>
      <c r="H151" s="57" t="s">
        <v>21</v>
      </c>
      <c r="I151" s="50"/>
      <c r="J151" s="47"/>
      <c r="K151" s="47"/>
      <c r="L151" s="47"/>
      <c r="M151" s="48"/>
      <c r="N151" s="61"/>
      <c r="O151" s="47"/>
      <c r="P151" s="47"/>
      <c r="Q151" s="47"/>
      <c r="R151" s="48"/>
      <c r="S151" s="50"/>
      <c r="T151" s="47"/>
      <c r="U151" s="47"/>
      <c r="V151" s="47"/>
      <c r="W151" s="48"/>
      <c r="X151" s="51"/>
      <c r="Y151" s="47"/>
      <c r="Z151" s="47"/>
      <c r="AA151" s="47"/>
      <c r="AB151" s="48"/>
      <c r="AC151" s="46">
        <v>1843.11</v>
      </c>
      <c r="AD151" s="47"/>
      <c r="AE151" s="47"/>
      <c r="AF151" s="47"/>
      <c r="AG151" s="48"/>
      <c r="AH151" s="69">
        <v>1843.11</v>
      </c>
      <c r="AI151" s="47"/>
      <c r="AJ151" s="47"/>
      <c r="AK151" s="47"/>
      <c r="AL151" s="48"/>
      <c r="AM151" s="91"/>
      <c r="AN151" s="47"/>
      <c r="AO151" s="47"/>
      <c r="AP151" s="47"/>
      <c r="AQ151" s="48"/>
      <c r="AR151" s="87"/>
      <c r="AS151" s="47"/>
      <c r="AT151" s="47"/>
      <c r="AU151" s="47"/>
      <c r="AV151" s="47"/>
      <c r="AW151" s="79"/>
      <c r="AX151" s="47"/>
      <c r="AY151" s="47"/>
      <c r="AZ151" s="47"/>
      <c r="BA151" s="48"/>
      <c r="BB151" s="80"/>
      <c r="BC151" s="47"/>
      <c r="BD151" s="47"/>
      <c r="BE151" s="47"/>
      <c r="BF151" s="47"/>
      <c r="BG151" s="81"/>
      <c r="BH151" s="47"/>
      <c r="BI151" s="47"/>
      <c r="BJ151" s="47"/>
      <c r="BK151" s="56"/>
    </row>
    <row r="152" ht="21.0" customHeight="1">
      <c r="A152" s="78"/>
      <c r="B152" s="44" t="s">
        <v>51</v>
      </c>
      <c r="C152" s="44" t="s">
        <v>106</v>
      </c>
      <c r="D152" s="45">
        <v>45050.0</v>
      </c>
      <c r="E152" s="45">
        <v>45051.0</v>
      </c>
      <c r="F152" s="44" t="s">
        <v>50</v>
      </c>
      <c r="G152" s="44" t="s">
        <v>26</v>
      </c>
      <c r="H152" s="57" t="s">
        <v>27</v>
      </c>
      <c r="I152" s="50"/>
      <c r="J152" s="47"/>
      <c r="K152" s="47"/>
      <c r="L152" s="47"/>
      <c r="M152" s="48"/>
      <c r="N152" s="61"/>
      <c r="O152" s="47"/>
      <c r="P152" s="47"/>
      <c r="Q152" s="47"/>
      <c r="R152" s="48"/>
      <c r="S152" s="50"/>
      <c r="T152" s="47"/>
      <c r="U152" s="47"/>
      <c r="V152" s="47"/>
      <c r="W152" s="48"/>
      <c r="X152" s="51"/>
      <c r="Y152" s="47"/>
      <c r="Z152" s="47"/>
      <c r="AA152" s="47"/>
      <c r="AB152" s="48"/>
      <c r="AC152" s="46">
        <v>267.22</v>
      </c>
      <c r="AD152" s="47"/>
      <c r="AE152" s="47"/>
      <c r="AF152" s="47"/>
      <c r="AG152" s="48"/>
      <c r="AH152" s="69">
        <v>267.22</v>
      </c>
      <c r="AI152" s="47"/>
      <c r="AJ152" s="47"/>
      <c r="AK152" s="47"/>
      <c r="AL152" s="48"/>
      <c r="AM152" s="91"/>
      <c r="AN152" s="47"/>
      <c r="AO152" s="47"/>
      <c r="AP152" s="47"/>
      <c r="AQ152" s="48"/>
      <c r="AR152" s="87"/>
      <c r="AS152" s="47"/>
      <c r="AT152" s="47"/>
      <c r="AU152" s="47"/>
      <c r="AV152" s="47"/>
      <c r="AW152" s="79"/>
      <c r="AX152" s="47"/>
      <c r="AY152" s="47"/>
      <c r="AZ152" s="47"/>
      <c r="BA152" s="48"/>
      <c r="BB152" s="80"/>
      <c r="BC152" s="47"/>
      <c r="BD152" s="47"/>
      <c r="BE152" s="47"/>
      <c r="BF152" s="47"/>
      <c r="BG152" s="81"/>
      <c r="BH152" s="47"/>
      <c r="BI152" s="47"/>
      <c r="BJ152" s="47"/>
      <c r="BK152" s="56"/>
    </row>
    <row r="153" ht="21.0" customHeight="1">
      <c r="A153" s="78"/>
      <c r="B153" s="44" t="s">
        <v>93</v>
      </c>
      <c r="C153" s="44" t="s">
        <v>188</v>
      </c>
      <c r="D153" s="45">
        <v>45096.0</v>
      </c>
      <c r="E153" s="45">
        <v>45100.0</v>
      </c>
      <c r="F153" s="44" t="s">
        <v>30</v>
      </c>
      <c r="G153" s="44" t="s">
        <v>84</v>
      </c>
      <c r="H153" s="57" t="s">
        <v>27</v>
      </c>
      <c r="I153" s="50"/>
      <c r="J153" s="47"/>
      <c r="K153" s="47"/>
      <c r="L153" s="47"/>
      <c r="M153" s="48"/>
      <c r="N153" s="61"/>
      <c r="O153" s="47"/>
      <c r="P153" s="47"/>
      <c r="Q153" s="47"/>
      <c r="R153" s="48"/>
      <c r="S153" s="50"/>
      <c r="T153" s="47"/>
      <c r="U153" s="47"/>
      <c r="V153" s="47"/>
      <c r="W153" s="48"/>
      <c r="X153" s="100"/>
      <c r="Y153" s="47"/>
      <c r="Z153" s="47"/>
      <c r="AA153" s="47"/>
      <c r="AB153" s="48"/>
      <c r="AC153" s="46">
        <v>1643.92</v>
      </c>
      <c r="AD153" s="47"/>
      <c r="AE153" s="47"/>
      <c r="AF153" s="47"/>
      <c r="AG153" s="48"/>
      <c r="AH153" s="82">
        <v>1614.12</v>
      </c>
      <c r="AI153" s="47"/>
      <c r="AJ153" s="47"/>
      <c r="AK153" s="47"/>
      <c r="AL153" s="48"/>
      <c r="AM153" s="91"/>
      <c r="AN153" s="47"/>
      <c r="AO153" s="47"/>
      <c r="AP153" s="47"/>
      <c r="AQ153" s="48"/>
      <c r="AR153" s="87"/>
      <c r="AS153" s="47"/>
      <c r="AT153" s="47"/>
      <c r="AU153" s="47"/>
      <c r="AV153" s="47"/>
      <c r="AW153" s="79"/>
      <c r="AX153" s="47"/>
      <c r="AY153" s="47"/>
      <c r="AZ153" s="47"/>
      <c r="BA153" s="48"/>
      <c r="BB153" s="80"/>
      <c r="BC153" s="47"/>
      <c r="BD153" s="47"/>
      <c r="BE153" s="47"/>
      <c r="BF153" s="47"/>
      <c r="BG153" s="81"/>
      <c r="BH153" s="47"/>
      <c r="BI153" s="47"/>
      <c r="BJ153" s="47"/>
      <c r="BK153" s="56"/>
    </row>
    <row r="154" ht="21.0" customHeight="1">
      <c r="A154" s="78"/>
      <c r="B154" s="44" t="s">
        <v>17</v>
      </c>
      <c r="C154" s="44" t="s">
        <v>55</v>
      </c>
      <c r="D154" s="45">
        <v>45089.0</v>
      </c>
      <c r="E154" s="45">
        <v>45093.0</v>
      </c>
      <c r="F154" s="44" t="s">
        <v>32</v>
      </c>
      <c r="G154" s="44" t="s">
        <v>26</v>
      </c>
      <c r="H154" s="44" t="s">
        <v>21</v>
      </c>
      <c r="I154" s="60"/>
      <c r="J154" s="47"/>
      <c r="K154" s="47"/>
      <c r="L154" s="47"/>
      <c r="M154" s="48"/>
      <c r="N154" s="61"/>
      <c r="O154" s="47"/>
      <c r="P154" s="47"/>
      <c r="Q154" s="47"/>
      <c r="R154" s="48"/>
      <c r="S154" s="50"/>
      <c r="T154" s="47"/>
      <c r="U154" s="47"/>
      <c r="V154" s="47"/>
      <c r="W154" s="48"/>
      <c r="X154" s="51"/>
      <c r="Y154" s="47"/>
      <c r="Z154" s="47"/>
      <c r="AA154" s="47"/>
      <c r="AB154" s="48"/>
      <c r="AC154" s="46">
        <v>2279.61</v>
      </c>
      <c r="AD154" s="47"/>
      <c r="AE154" s="47"/>
      <c r="AF154" s="47"/>
      <c r="AG154" s="48"/>
      <c r="AH154" s="49" t="s">
        <v>56</v>
      </c>
      <c r="AI154" s="47"/>
      <c r="AJ154" s="47"/>
      <c r="AK154" s="47"/>
      <c r="AL154" s="48"/>
      <c r="AM154" s="91"/>
      <c r="AN154" s="47"/>
      <c r="AO154" s="47"/>
      <c r="AP154" s="47"/>
      <c r="AQ154" s="48"/>
      <c r="AR154" s="87"/>
      <c r="AS154" s="47"/>
      <c r="AT154" s="47"/>
      <c r="AU154" s="47"/>
      <c r="AV154" s="47"/>
      <c r="AW154" s="79"/>
      <c r="AX154" s="47"/>
      <c r="AY154" s="47"/>
      <c r="AZ154" s="47"/>
      <c r="BA154" s="48"/>
      <c r="BB154" s="80"/>
      <c r="BC154" s="47"/>
      <c r="BD154" s="47"/>
      <c r="BE154" s="47"/>
      <c r="BF154" s="47"/>
      <c r="BG154" s="81"/>
      <c r="BH154" s="47"/>
      <c r="BI154" s="47"/>
      <c r="BJ154" s="47"/>
      <c r="BK154" s="56"/>
    </row>
    <row r="155" ht="21.0" customHeight="1">
      <c r="A155" s="78"/>
      <c r="B155" s="44" t="s">
        <v>17</v>
      </c>
      <c r="C155" s="44" t="s">
        <v>37</v>
      </c>
      <c r="D155" s="45">
        <v>45089.0</v>
      </c>
      <c r="E155" s="45">
        <v>45096.0</v>
      </c>
      <c r="F155" s="44" t="s">
        <v>32</v>
      </c>
      <c r="G155" s="44" t="s">
        <v>26</v>
      </c>
      <c r="H155" s="44" t="s">
        <v>21</v>
      </c>
      <c r="I155" s="60"/>
      <c r="J155" s="47"/>
      <c r="K155" s="47"/>
      <c r="L155" s="47"/>
      <c r="M155" s="48"/>
      <c r="N155" s="61"/>
      <c r="O155" s="47"/>
      <c r="P155" s="47"/>
      <c r="Q155" s="47"/>
      <c r="R155" s="48"/>
      <c r="S155" s="50"/>
      <c r="T155" s="47"/>
      <c r="U155" s="47"/>
      <c r="V155" s="47"/>
      <c r="W155" s="48"/>
      <c r="X155" s="51"/>
      <c r="Y155" s="47"/>
      <c r="Z155" s="47"/>
      <c r="AA155" s="47"/>
      <c r="AB155" s="48"/>
      <c r="AC155" s="46">
        <v>3349.4</v>
      </c>
      <c r="AD155" s="47"/>
      <c r="AE155" s="47"/>
      <c r="AF155" s="47"/>
      <c r="AG155" s="48"/>
      <c r="AH155" s="49">
        <v>3075.17</v>
      </c>
      <c r="AI155" s="47"/>
      <c r="AJ155" s="47"/>
      <c r="AK155" s="47"/>
      <c r="AL155" s="48"/>
      <c r="AM155" s="91"/>
      <c r="AN155" s="47"/>
      <c r="AO155" s="47"/>
      <c r="AP155" s="47"/>
      <c r="AQ155" s="48"/>
      <c r="AR155" s="87"/>
      <c r="AS155" s="47"/>
      <c r="AT155" s="47"/>
      <c r="AU155" s="47"/>
      <c r="AV155" s="47"/>
      <c r="AW155" s="79"/>
      <c r="AX155" s="47"/>
      <c r="AY155" s="47"/>
      <c r="AZ155" s="47"/>
      <c r="BA155" s="48"/>
      <c r="BB155" s="80"/>
      <c r="BC155" s="47"/>
      <c r="BD155" s="47"/>
      <c r="BE155" s="47"/>
      <c r="BF155" s="47"/>
      <c r="BG155" s="81"/>
      <c r="BH155" s="47"/>
      <c r="BI155" s="47"/>
      <c r="BJ155" s="47"/>
      <c r="BK155" s="56"/>
    </row>
    <row r="156" ht="21.0" customHeight="1">
      <c r="A156" s="78"/>
      <c r="B156" s="44" t="s">
        <v>17</v>
      </c>
      <c r="C156" s="44" t="s">
        <v>190</v>
      </c>
      <c r="D156" s="102">
        <v>45084.0</v>
      </c>
      <c r="E156" s="45">
        <v>45089.0</v>
      </c>
      <c r="F156" s="44" t="s">
        <v>32</v>
      </c>
      <c r="G156" s="44" t="s">
        <v>26</v>
      </c>
      <c r="H156" s="57" t="s">
        <v>21</v>
      </c>
      <c r="I156" s="50"/>
      <c r="J156" s="47"/>
      <c r="K156" s="47"/>
      <c r="L156" s="47"/>
      <c r="M156" s="48"/>
      <c r="N156" s="61"/>
      <c r="O156" s="47"/>
      <c r="P156" s="47"/>
      <c r="Q156" s="47"/>
      <c r="R156" s="48"/>
      <c r="S156" s="91"/>
      <c r="T156" s="47"/>
      <c r="U156" s="47"/>
      <c r="V156" s="47"/>
      <c r="W156" s="48"/>
      <c r="X156" s="100"/>
      <c r="Y156" s="47"/>
      <c r="Z156" s="47"/>
      <c r="AA156" s="47"/>
      <c r="AB156" s="48"/>
      <c r="AC156" s="106">
        <v>1041.25</v>
      </c>
      <c r="AD156" s="47"/>
      <c r="AE156" s="47"/>
      <c r="AF156" s="47"/>
      <c r="AG156" s="48"/>
      <c r="AH156" s="82">
        <v>1203.92</v>
      </c>
      <c r="AI156" s="47"/>
      <c r="AJ156" s="47"/>
      <c r="AK156" s="47"/>
      <c r="AL156" s="48"/>
      <c r="AM156" s="91"/>
      <c r="AN156" s="47"/>
      <c r="AO156" s="47"/>
      <c r="AP156" s="47"/>
      <c r="AQ156" s="48"/>
      <c r="AR156" s="87"/>
      <c r="AS156" s="47"/>
      <c r="AT156" s="47"/>
      <c r="AU156" s="47"/>
      <c r="AV156" s="47"/>
      <c r="AW156" s="79"/>
      <c r="AX156" s="47"/>
      <c r="AY156" s="47"/>
      <c r="AZ156" s="47"/>
      <c r="BA156" s="48"/>
      <c r="BB156" s="80"/>
      <c r="BC156" s="47"/>
      <c r="BD156" s="47"/>
      <c r="BE156" s="47"/>
      <c r="BF156" s="47"/>
      <c r="BG156" s="81"/>
      <c r="BH156" s="47"/>
      <c r="BI156" s="47"/>
      <c r="BJ156" s="47"/>
      <c r="BK156" s="56"/>
    </row>
    <row r="157" ht="21.0" customHeight="1">
      <c r="A157" s="78"/>
      <c r="B157" s="44" t="s">
        <v>140</v>
      </c>
      <c r="C157" s="44" t="s">
        <v>239</v>
      </c>
      <c r="D157" s="45">
        <v>45032.0</v>
      </c>
      <c r="E157" s="45">
        <v>45035.0</v>
      </c>
      <c r="F157" s="44" t="s">
        <v>155</v>
      </c>
      <c r="G157" s="44" t="s">
        <v>84</v>
      </c>
      <c r="H157" s="57" t="s">
        <v>124</v>
      </c>
      <c r="I157" s="50"/>
      <c r="J157" s="47"/>
      <c r="K157" s="47"/>
      <c r="L157" s="47"/>
      <c r="M157" s="48"/>
      <c r="N157" s="51"/>
      <c r="O157" s="47"/>
      <c r="P157" s="47"/>
      <c r="Q157" s="47"/>
      <c r="R157" s="48"/>
      <c r="S157" s="50"/>
      <c r="T157" s="47"/>
      <c r="U157" s="47"/>
      <c r="V157" s="47"/>
      <c r="W157" s="48"/>
      <c r="X157" s="61"/>
      <c r="Y157" s="47"/>
      <c r="Z157" s="47"/>
      <c r="AA157" s="47"/>
      <c r="AB157" s="48"/>
      <c r="AC157" s="46">
        <v>1391.97</v>
      </c>
      <c r="AD157" s="47"/>
      <c r="AE157" s="47"/>
      <c r="AF157" s="47"/>
      <c r="AG157" s="48"/>
      <c r="AH157" s="69">
        <v>1356.13</v>
      </c>
      <c r="AI157" s="47"/>
      <c r="AJ157" s="47"/>
      <c r="AK157" s="47"/>
      <c r="AL157" s="48"/>
      <c r="AM157" s="91"/>
      <c r="AN157" s="47"/>
      <c r="AO157" s="47"/>
      <c r="AP157" s="47"/>
      <c r="AQ157" s="48"/>
      <c r="AR157" s="87"/>
      <c r="AS157" s="47"/>
      <c r="AT157" s="47"/>
      <c r="AU157" s="47"/>
      <c r="AV157" s="47"/>
      <c r="AW157" s="79"/>
      <c r="AX157" s="47"/>
      <c r="AY157" s="47"/>
      <c r="AZ157" s="47"/>
      <c r="BA157" s="48"/>
      <c r="BB157" s="80"/>
      <c r="BC157" s="47"/>
      <c r="BD157" s="47"/>
      <c r="BE157" s="47"/>
      <c r="BF157" s="47"/>
      <c r="BG157" s="81"/>
      <c r="BH157" s="47"/>
      <c r="BI157" s="47"/>
      <c r="BJ157" s="47"/>
      <c r="BK157" s="56"/>
    </row>
    <row r="158" ht="21.0" customHeight="1">
      <c r="A158" s="78"/>
      <c r="B158" s="44" t="s">
        <v>173</v>
      </c>
      <c r="C158" s="44" t="s">
        <v>203</v>
      </c>
      <c r="D158" s="102">
        <v>45101.0</v>
      </c>
      <c r="E158" s="45">
        <v>45105.0</v>
      </c>
      <c r="F158" s="44" t="s">
        <v>174</v>
      </c>
      <c r="G158" s="44" t="s">
        <v>59</v>
      </c>
      <c r="H158" s="44" t="s">
        <v>27</v>
      </c>
      <c r="I158" s="60"/>
      <c r="J158" s="47"/>
      <c r="K158" s="47"/>
      <c r="L158" s="47"/>
      <c r="M158" s="48"/>
      <c r="N158" s="61"/>
      <c r="O158" s="47"/>
      <c r="P158" s="47"/>
      <c r="Q158" s="47"/>
      <c r="R158" s="47"/>
      <c r="S158" s="50"/>
      <c r="T158" s="47"/>
      <c r="U158" s="47"/>
      <c r="V158" s="47"/>
      <c r="W158" s="48"/>
      <c r="X158" s="61"/>
      <c r="Y158" s="47"/>
      <c r="Z158" s="47"/>
      <c r="AA158" s="47"/>
      <c r="AB158" s="48"/>
      <c r="AC158" s="46">
        <v>1528.25</v>
      </c>
      <c r="AD158" s="47"/>
      <c r="AE158" s="47"/>
      <c r="AF158" s="47"/>
      <c r="AG158" s="48"/>
      <c r="AH158" s="69" t="s">
        <v>56</v>
      </c>
      <c r="AI158" s="47"/>
      <c r="AJ158" s="47"/>
      <c r="AK158" s="47"/>
      <c r="AL158" s="48"/>
      <c r="AM158" s="91"/>
      <c r="AN158" s="47"/>
      <c r="AO158" s="47"/>
      <c r="AP158" s="47"/>
      <c r="AQ158" s="48"/>
      <c r="AR158" s="87"/>
      <c r="AS158" s="47"/>
      <c r="AT158" s="47"/>
      <c r="AU158" s="47"/>
      <c r="AV158" s="47"/>
      <c r="AW158" s="79"/>
      <c r="AX158" s="47"/>
      <c r="AY158" s="47"/>
      <c r="AZ158" s="47"/>
      <c r="BA158" s="48"/>
      <c r="BB158" s="80"/>
      <c r="BC158" s="47"/>
      <c r="BD158" s="47"/>
      <c r="BE158" s="47"/>
      <c r="BF158" s="47"/>
      <c r="BG158" s="81"/>
      <c r="BH158" s="47"/>
      <c r="BI158" s="47"/>
      <c r="BJ158" s="47"/>
      <c r="BK158" s="56"/>
    </row>
    <row r="159" ht="21.0" customHeight="1">
      <c r="A159" s="78"/>
      <c r="B159" s="119" t="s">
        <v>156</v>
      </c>
      <c r="C159" s="119" t="s">
        <v>293</v>
      </c>
      <c r="D159" s="120">
        <v>45096.0</v>
      </c>
      <c r="E159" s="120">
        <v>45099.0</v>
      </c>
      <c r="F159" s="119" t="s">
        <v>294</v>
      </c>
      <c r="G159" s="119" t="s">
        <v>84</v>
      </c>
      <c r="H159" s="121" t="s">
        <v>124</v>
      </c>
      <c r="I159" s="60"/>
      <c r="J159" s="47"/>
      <c r="K159" s="47"/>
      <c r="L159" s="47"/>
      <c r="M159" s="48"/>
      <c r="N159" s="61"/>
      <c r="O159" s="47"/>
      <c r="P159" s="47"/>
      <c r="Q159" s="47"/>
      <c r="R159" s="48"/>
      <c r="S159" s="50"/>
      <c r="T159" s="47"/>
      <c r="U159" s="47"/>
      <c r="V159" s="47"/>
      <c r="W159" s="48"/>
      <c r="X159" s="52"/>
      <c r="Y159" s="47"/>
      <c r="Z159" s="47"/>
      <c r="AA159" s="47"/>
      <c r="AB159" s="48"/>
      <c r="AC159" s="46">
        <v>745.46</v>
      </c>
      <c r="AD159" s="47"/>
      <c r="AE159" s="47"/>
      <c r="AF159" s="47"/>
      <c r="AG159" s="48"/>
      <c r="AH159" s="69">
        <v>514.14</v>
      </c>
      <c r="AI159" s="47"/>
      <c r="AJ159" s="47"/>
      <c r="AK159" s="47"/>
      <c r="AL159" s="48"/>
      <c r="AM159" s="91"/>
      <c r="AN159" s="47"/>
      <c r="AO159" s="47"/>
      <c r="AP159" s="47"/>
      <c r="AQ159" s="48"/>
      <c r="AR159" s="87"/>
      <c r="AS159" s="47"/>
      <c r="AT159" s="47"/>
      <c r="AU159" s="47"/>
      <c r="AV159" s="47"/>
      <c r="AW159" s="79"/>
      <c r="AX159" s="47"/>
      <c r="AY159" s="47"/>
      <c r="AZ159" s="47"/>
      <c r="BA159" s="48"/>
      <c r="BB159" s="80"/>
      <c r="BC159" s="47"/>
      <c r="BD159" s="47"/>
      <c r="BE159" s="47"/>
      <c r="BF159" s="47"/>
      <c r="BG159" s="81"/>
      <c r="BH159" s="47"/>
      <c r="BI159" s="47"/>
      <c r="BJ159" s="47"/>
      <c r="BK159" s="56"/>
    </row>
    <row r="160" ht="21.0" customHeight="1">
      <c r="A160" s="78"/>
      <c r="B160" s="44" t="s">
        <v>211</v>
      </c>
      <c r="C160" s="44" t="s">
        <v>390</v>
      </c>
      <c r="D160" s="45">
        <v>45125.0</v>
      </c>
      <c r="E160" s="45">
        <v>45127.0</v>
      </c>
      <c r="F160" s="44" t="s">
        <v>391</v>
      </c>
      <c r="G160" s="44" t="s">
        <v>187</v>
      </c>
      <c r="H160" s="44" t="s">
        <v>27</v>
      </c>
      <c r="I160" s="60"/>
      <c r="J160" s="47"/>
      <c r="K160" s="47"/>
      <c r="L160" s="47"/>
      <c r="M160" s="48"/>
      <c r="N160" s="61"/>
      <c r="O160" s="47"/>
      <c r="P160" s="47"/>
      <c r="Q160" s="47"/>
      <c r="R160" s="48"/>
      <c r="S160" s="50"/>
      <c r="T160" s="47"/>
      <c r="U160" s="47"/>
      <c r="V160" s="47"/>
      <c r="W160" s="48"/>
      <c r="X160" s="52"/>
      <c r="Y160" s="47"/>
      <c r="Z160" s="47"/>
      <c r="AA160" s="47"/>
      <c r="AB160" s="48"/>
      <c r="AC160" s="50"/>
      <c r="AD160" s="47"/>
      <c r="AE160" s="47"/>
      <c r="AF160" s="47"/>
      <c r="AG160" s="48"/>
      <c r="AH160" s="52"/>
      <c r="AI160" s="47"/>
      <c r="AJ160" s="47"/>
      <c r="AK160" s="47"/>
      <c r="AL160" s="48"/>
      <c r="AM160" s="46">
        <v>1010.07</v>
      </c>
      <c r="AN160" s="47"/>
      <c r="AO160" s="47"/>
      <c r="AP160" s="47"/>
      <c r="AQ160" s="48"/>
      <c r="AR160" s="105">
        <v>949.37</v>
      </c>
      <c r="AS160" s="47"/>
      <c r="AT160" s="47"/>
      <c r="AU160" s="47"/>
      <c r="AV160" s="48"/>
      <c r="AW160" s="79"/>
      <c r="AX160" s="47"/>
      <c r="AY160" s="47"/>
      <c r="AZ160" s="47"/>
      <c r="BA160" s="48"/>
      <c r="BB160" s="80"/>
      <c r="BC160" s="47"/>
      <c r="BD160" s="47"/>
      <c r="BE160" s="47"/>
      <c r="BF160" s="47"/>
      <c r="BG160" s="81"/>
      <c r="BH160" s="47"/>
      <c r="BI160" s="47"/>
      <c r="BJ160" s="47"/>
      <c r="BK160" s="56"/>
    </row>
    <row r="161" ht="21.0" customHeight="1">
      <c r="A161" s="78"/>
      <c r="B161" s="44" t="s">
        <v>121</v>
      </c>
      <c r="C161" s="44" t="s">
        <v>390</v>
      </c>
      <c r="D161" s="102">
        <v>45125.0</v>
      </c>
      <c r="E161" s="45">
        <v>45127.0</v>
      </c>
      <c r="F161" s="44" t="s">
        <v>391</v>
      </c>
      <c r="G161" s="44" t="s">
        <v>187</v>
      </c>
      <c r="H161" s="44" t="s">
        <v>27</v>
      </c>
      <c r="I161" s="60"/>
      <c r="J161" s="47"/>
      <c r="K161" s="47"/>
      <c r="L161" s="47"/>
      <c r="M161" s="48"/>
      <c r="N161" s="61"/>
      <c r="O161" s="47"/>
      <c r="P161" s="47"/>
      <c r="Q161" s="47"/>
      <c r="R161" s="48"/>
      <c r="S161" s="50"/>
      <c r="T161" s="47"/>
      <c r="U161" s="47"/>
      <c r="V161" s="47"/>
      <c r="W161" s="48"/>
      <c r="X161" s="52"/>
      <c r="Y161" s="47"/>
      <c r="Z161" s="47"/>
      <c r="AA161" s="47"/>
      <c r="AB161" s="48"/>
      <c r="AC161" s="50"/>
      <c r="AD161" s="47"/>
      <c r="AE161" s="47"/>
      <c r="AF161" s="47"/>
      <c r="AG161" s="48"/>
      <c r="AH161" s="52"/>
      <c r="AI161" s="47"/>
      <c r="AJ161" s="47"/>
      <c r="AK161" s="47"/>
      <c r="AL161" s="48"/>
      <c r="AM161" s="46">
        <v>918.46</v>
      </c>
      <c r="AN161" s="47"/>
      <c r="AO161" s="47"/>
      <c r="AP161" s="47"/>
      <c r="AQ161" s="48"/>
      <c r="AR161" s="105">
        <v>1002.11</v>
      </c>
      <c r="AS161" s="47"/>
      <c r="AT161" s="47"/>
      <c r="AU161" s="47"/>
      <c r="AV161" s="48"/>
      <c r="AW161" s="79"/>
      <c r="AX161" s="47"/>
      <c r="AY161" s="47"/>
      <c r="AZ161" s="47"/>
      <c r="BA161" s="48"/>
      <c r="BB161" s="80"/>
      <c r="BC161" s="47"/>
      <c r="BD161" s="47"/>
      <c r="BE161" s="47"/>
      <c r="BF161" s="47"/>
      <c r="BG161" s="81"/>
      <c r="BH161" s="47"/>
      <c r="BI161" s="47"/>
      <c r="BJ161" s="47"/>
      <c r="BK161" s="56"/>
    </row>
    <row r="162" ht="21.0" customHeight="1">
      <c r="A162" s="78"/>
      <c r="B162" s="44" t="s">
        <v>200</v>
      </c>
      <c r="C162" s="44" t="s">
        <v>390</v>
      </c>
      <c r="D162" s="45">
        <v>45125.0</v>
      </c>
      <c r="E162" s="45">
        <v>45127.0</v>
      </c>
      <c r="F162" s="44" t="s">
        <v>391</v>
      </c>
      <c r="G162" s="44" t="s">
        <v>187</v>
      </c>
      <c r="H162" s="44" t="s">
        <v>27</v>
      </c>
      <c r="I162" s="60"/>
      <c r="J162" s="47"/>
      <c r="K162" s="47"/>
      <c r="L162" s="47"/>
      <c r="M162" s="48"/>
      <c r="N162" s="61"/>
      <c r="O162" s="47"/>
      <c r="P162" s="47"/>
      <c r="Q162" s="47"/>
      <c r="R162" s="48"/>
      <c r="S162" s="50"/>
      <c r="T162" s="47"/>
      <c r="U162" s="47"/>
      <c r="V162" s="47"/>
      <c r="W162" s="48"/>
      <c r="X162" s="52"/>
      <c r="Y162" s="47"/>
      <c r="Z162" s="47"/>
      <c r="AA162" s="47"/>
      <c r="AB162" s="48"/>
      <c r="AC162" s="50"/>
      <c r="AD162" s="47"/>
      <c r="AE162" s="47"/>
      <c r="AF162" s="47"/>
      <c r="AG162" s="48"/>
      <c r="AH162" s="52"/>
      <c r="AI162" s="47"/>
      <c r="AJ162" s="47"/>
      <c r="AK162" s="47"/>
      <c r="AL162" s="48"/>
      <c r="AM162" s="46">
        <v>938.46</v>
      </c>
      <c r="AN162" s="47"/>
      <c r="AO162" s="47"/>
      <c r="AP162" s="47"/>
      <c r="AQ162" s="48"/>
      <c r="AR162" s="105">
        <v>931.32</v>
      </c>
      <c r="AS162" s="47"/>
      <c r="AT162" s="47"/>
      <c r="AU162" s="47"/>
      <c r="AV162" s="48"/>
      <c r="AW162" s="79"/>
      <c r="AX162" s="47"/>
      <c r="AY162" s="47"/>
      <c r="AZ162" s="47"/>
      <c r="BA162" s="48"/>
      <c r="BB162" s="80"/>
      <c r="BC162" s="47"/>
      <c r="BD162" s="47"/>
      <c r="BE162" s="47"/>
      <c r="BF162" s="47"/>
      <c r="BG162" s="81"/>
      <c r="BH162" s="47"/>
      <c r="BI162" s="47"/>
      <c r="BJ162" s="47"/>
      <c r="BK162" s="56"/>
    </row>
    <row r="163" ht="21.0" customHeight="1">
      <c r="A163" s="78"/>
      <c r="B163" s="44" t="s">
        <v>185</v>
      </c>
      <c r="C163" s="44" t="s">
        <v>390</v>
      </c>
      <c r="D163" s="45">
        <v>45125.0</v>
      </c>
      <c r="E163" s="45">
        <v>45127.0</v>
      </c>
      <c r="F163" s="44" t="s">
        <v>391</v>
      </c>
      <c r="G163" s="44" t="s">
        <v>187</v>
      </c>
      <c r="H163" s="44" t="s">
        <v>27</v>
      </c>
      <c r="I163" s="60"/>
      <c r="J163" s="47"/>
      <c r="K163" s="47"/>
      <c r="L163" s="47"/>
      <c r="M163" s="48"/>
      <c r="N163" s="61"/>
      <c r="O163" s="47"/>
      <c r="P163" s="47"/>
      <c r="Q163" s="47"/>
      <c r="R163" s="48"/>
      <c r="S163" s="50"/>
      <c r="T163" s="47"/>
      <c r="U163" s="47"/>
      <c r="V163" s="47"/>
      <c r="W163" s="48"/>
      <c r="X163" s="52"/>
      <c r="Y163" s="47"/>
      <c r="Z163" s="47"/>
      <c r="AA163" s="47"/>
      <c r="AB163" s="48"/>
      <c r="AC163" s="50"/>
      <c r="AD163" s="47"/>
      <c r="AE163" s="47"/>
      <c r="AF163" s="47"/>
      <c r="AG163" s="48"/>
      <c r="AH163" s="52"/>
      <c r="AI163" s="47"/>
      <c r="AJ163" s="47"/>
      <c r="AK163" s="47"/>
      <c r="AL163" s="48"/>
      <c r="AM163" s="46">
        <v>1223.77</v>
      </c>
      <c r="AN163" s="47"/>
      <c r="AO163" s="47"/>
      <c r="AP163" s="47"/>
      <c r="AQ163" s="48"/>
      <c r="AR163" s="105">
        <v>1286.24</v>
      </c>
      <c r="AS163" s="47"/>
      <c r="AT163" s="47"/>
      <c r="AU163" s="47"/>
      <c r="AV163" s="48"/>
      <c r="AW163" s="79"/>
      <c r="AX163" s="47"/>
      <c r="AY163" s="47"/>
      <c r="AZ163" s="47"/>
      <c r="BA163" s="48"/>
      <c r="BB163" s="80"/>
      <c r="BC163" s="47"/>
      <c r="BD163" s="47"/>
      <c r="BE163" s="47"/>
      <c r="BF163" s="47"/>
      <c r="BG163" s="81"/>
      <c r="BH163" s="47"/>
      <c r="BI163" s="47"/>
      <c r="BJ163" s="47"/>
      <c r="BK163" s="56"/>
    </row>
    <row r="164" ht="21.0" customHeight="1">
      <c r="A164" s="78"/>
      <c r="B164" s="44" t="s">
        <v>173</v>
      </c>
      <c r="C164" s="44" t="s">
        <v>208</v>
      </c>
      <c r="D164" s="45">
        <v>45125.0</v>
      </c>
      <c r="E164" s="45">
        <v>45128.0</v>
      </c>
      <c r="F164" s="44" t="s">
        <v>174</v>
      </c>
      <c r="G164" s="44" t="s">
        <v>26</v>
      </c>
      <c r="H164" s="44" t="s">
        <v>21</v>
      </c>
      <c r="I164" s="60"/>
      <c r="J164" s="47"/>
      <c r="K164" s="47"/>
      <c r="L164" s="47"/>
      <c r="M164" s="48"/>
      <c r="N164" s="61"/>
      <c r="O164" s="47"/>
      <c r="P164" s="47"/>
      <c r="Q164" s="47"/>
      <c r="R164" s="47"/>
      <c r="S164" s="50"/>
      <c r="T164" s="47"/>
      <c r="U164" s="47"/>
      <c r="V164" s="47"/>
      <c r="W164" s="48"/>
      <c r="X164" s="61"/>
      <c r="Y164" s="47"/>
      <c r="Z164" s="47"/>
      <c r="AA164" s="47"/>
      <c r="AB164" s="48"/>
      <c r="AC164" s="50"/>
      <c r="AD164" s="47"/>
      <c r="AE164" s="47"/>
      <c r="AF164" s="47"/>
      <c r="AG164" s="48"/>
      <c r="AH164" s="51"/>
      <c r="AI164" s="47"/>
      <c r="AJ164" s="47"/>
      <c r="AK164" s="47"/>
      <c r="AL164" s="48"/>
      <c r="AM164" s="46">
        <v>1298.25</v>
      </c>
      <c r="AN164" s="47"/>
      <c r="AO164" s="47"/>
      <c r="AP164" s="47"/>
      <c r="AQ164" s="48"/>
      <c r="AR164" s="69">
        <v>1367.25</v>
      </c>
      <c r="AS164" s="47"/>
      <c r="AT164" s="47"/>
      <c r="AU164" s="47"/>
      <c r="AV164" s="48"/>
      <c r="AW164" s="79"/>
      <c r="AX164" s="47"/>
      <c r="AY164" s="47"/>
      <c r="AZ164" s="47"/>
      <c r="BA164" s="48"/>
      <c r="BB164" s="80"/>
      <c r="BC164" s="47"/>
      <c r="BD164" s="47"/>
      <c r="BE164" s="47"/>
      <c r="BF164" s="47"/>
      <c r="BG164" s="81"/>
      <c r="BH164" s="47"/>
      <c r="BI164" s="47"/>
      <c r="BJ164" s="47"/>
      <c r="BK164" s="56"/>
    </row>
    <row r="165" ht="21.0" customHeight="1">
      <c r="A165" s="78"/>
      <c r="B165" s="44" t="s">
        <v>252</v>
      </c>
      <c r="C165" s="44" t="s">
        <v>205</v>
      </c>
      <c r="D165" s="45">
        <v>41101.0</v>
      </c>
      <c r="E165" s="45">
        <v>45119.0</v>
      </c>
      <c r="F165" s="44" t="s">
        <v>259</v>
      </c>
      <c r="G165" s="44" t="s">
        <v>59</v>
      </c>
      <c r="H165" s="44" t="s">
        <v>27</v>
      </c>
      <c r="I165" s="60"/>
      <c r="J165" s="47"/>
      <c r="K165" s="47"/>
      <c r="L165" s="47"/>
      <c r="M165" s="48"/>
      <c r="N165" s="61"/>
      <c r="O165" s="47"/>
      <c r="P165" s="47"/>
      <c r="Q165" s="47"/>
      <c r="R165" s="47"/>
      <c r="S165" s="50"/>
      <c r="T165" s="47"/>
      <c r="U165" s="47"/>
      <c r="V165" s="47"/>
      <c r="W165" s="48"/>
      <c r="X165" s="61"/>
      <c r="Y165" s="47"/>
      <c r="Z165" s="47"/>
      <c r="AA165" s="47"/>
      <c r="AB165" s="48"/>
      <c r="AC165" s="50"/>
      <c r="AD165" s="47"/>
      <c r="AE165" s="47"/>
      <c r="AF165" s="47"/>
      <c r="AG165" s="48"/>
      <c r="AH165" s="51"/>
      <c r="AI165" s="47"/>
      <c r="AJ165" s="47"/>
      <c r="AK165" s="47"/>
      <c r="AL165" s="48"/>
      <c r="AM165" s="46">
        <v>353.62</v>
      </c>
      <c r="AN165" s="47"/>
      <c r="AO165" s="47"/>
      <c r="AP165" s="47"/>
      <c r="AQ165" s="48"/>
      <c r="AR165" s="69">
        <v>308.62</v>
      </c>
      <c r="AS165" s="47"/>
      <c r="AT165" s="47"/>
      <c r="AU165" s="47"/>
      <c r="AV165" s="48"/>
      <c r="AW165" s="79"/>
      <c r="AX165" s="47"/>
      <c r="AY165" s="47"/>
      <c r="AZ165" s="47"/>
      <c r="BA165" s="48"/>
      <c r="BB165" s="80"/>
      <c r="BC165" s="47"/>
      <c r="BD165" s="47"/>
      <c r="BE165" s="47"/>
      <c r="BF165" s="47"/>
      <c r="BG165" s="81"/>
      <c r="BH165" s="47"/>
      <c r="BI165" s="47"/>
      <c r="BJ165" s="47"/>
      <c r="BK165" s="56"/>
    </row>
    <row r="166" ht="21.0" customHeight="1">
      <c r="A166" s="78"/>
      <c r="B166" s="44" t="s">
        <v>23</v>
      </c>
      <c r="C166" s="44" t="s">
        <v>202</v>
      </c>
      <c r="D166" s="45">
        <v>45124.0</v>
      </c>
      <c r="E166" s="45">
        <v>45127.0</v>
      </c>
      <c r="F166" s="44" t="s">
        <v>30</v>
      </c>
      <c r="G166" s="44" t="s">
        <v>26</v>
      </c>
      <c r="H166" s="57" t="s">
        <v>21</v>
      </c>
      <c r="I166" s="50"/>
      <c r="J166" s="47"/>
      <c r="K166" s="47"/>
      <c r="L166" s="47"/>
      <c r="M166" s="48"/>
      <c r="N166" s="61"/>
      <c r="O166" s="47"/>
      <c r="P166" s="47"/>
      <c r="Q166" s="47"/>
      <c r="R166" s="48"/>
      <c r="S166" s="91"/>
      <c r="T166" s="47"/>
      <c r="U166" s="47"/>
      <c r="V166" s="47"/>
      <c r="W166" s="48"/>
      <c r="X166" s="100"/>
      <c r="Y166" s="47"/>
      <c r="Z166" s="47"/>
      <c r="AA166" s="47"/>
      <c r="AB166" s="48"/>
      <c r="AC166" s="91"/>
      <c r="AD166" s="47"/>
      <c r="AE166" s="47"/>
      <c r="AF166" s="47"/>
      <c r="AG166" s="48"/>
      <c r="AH166" s="52"/>
      <c r="AI166" s="47"/>
      <c r="AJ166" s="47"/>
      <c r="AK166" s="47"/>
      <c r="AL166" s="48"/>
      <c r="AM166" s="106">
        <v>1110.47</v>
      </c>
      <c r="AN166" s="47"/>
      <c r="AO166" s="47"/>
      <c r="AP166" s="47"/>
      <c r="AQ166" s="48"/>
      <c r="AR166" s="82">
        <v>1123.75</v>
      </c>
      <c r="AS166" s="47"/>
      <c r="AT166" s="47"/>
      <c r="AU166" s="47"/>
      <c r="AV166" s="48"/>
      <c r="AW166" s="79"/>
      <c r="AX166" s="47"/>
      <c r="AY166" s="47"/>
      <c r="AZ166" s="47"/>
      <c r="BA166" s="48"/>
      <c r="BB166" s="80"/>
      <c r="BC166" s="47"/>
      <c r="BD166" s="47"/>
      <c r="BE166" s="47"/>
      <c r="BF166" s="47"/>
      <c r="BG166" s="81"/>
      <c r="BH166" s="47"/>
      <c r="BI166" s="47"/>
      <c r="BJ166" s="47"/>
      <c r="BK166" s="56"/>
    </row>
    <row r="167" ht="21.0" customHeight="1">
      <c r="A167" s="78"/>
      <c r="B167" s="44" t="s">
        <v>99</v>
      </c>
      <c r="C167" s="44" t="s">
        <v>280</v>
      </c>
      <c r="D167" s="45">
        <v>45124.0</v>
      </c>
      <c r="E167" s="45">
        <v>45127.0</v>
      </c>
      <c r="F167" s="44" t="s">
        <v>30</v>
      </c>
      <c r="G167" s="44" t="s">
        <v>282</v>
      </c>
      <c r="H167" s="44" t="s">
        <v>21</v>
      </c>
      <c r="I167" s="60"/>
      <c r="J167" s="47"/>
      <c r="K167" s="47"/>
      <c r="L167" s="47"/>
      <c r="M167" s="48"/>
      <c r="N167" s="61"/>
      <c r="O167" s="47"/>
      <c r="P167" s="47"/>
      <c r="Q167" s="47"/>
      <c r="R167" s="48"/>
      <c r="S167" s="50"/>
      <c r="T167" s="47"/>
      <c r="U167" s="47"/>
      <c r="V167" s="47"/>
      <c r="W167" s="48"/>
      <c r="X167" s="51"/>
      <c r="Y167" s="47"/>
      <c r="Z167" s="47"/>
      <c r="AA167" s="47"/>
      <c r="AB167" s="48"/>
      <c r="AC167" s="50"/>
      <c r="AD167" s="47"/>
      <c r="AE167" s="47"/>
      <c r="AF167" s="47"/>
      <c r="AG167" s="48"/>
      <c r="AH167" s="52"/>
      <c r="AI167" s="47"/>
      <c r="AJ167" s="47"/>
      <c r="AK167" s="47"/>
      <c r="AL167" s="48"/>
      <c r="AM167" s="106">
        <v>1356.28</v>
      </c>
      <c r="AN167" s="47"/>
      <c r="AO167" s="47"/>
      <c r="AP167" s="47"/>
      <c r="AQ167" s="48"/>
      <c r="AR167" s="82">
        <v>1282.39</v>
      </c>
      <c r="AS167" s="47"/>
      <c r="AT167" s="47"/>
      <c r="AU167" s="47"/>
      <c r="AV167" s="48"/>
      <c r="AW167" s="79"/>
      <c r="AX167" s="47"/>
      <c r="AY167" s="47"/>
      <c r="AZ167" s="47"/>
      <c r="BA167" s="48"/>
      <c r="BB167" s="80"/>
      <c r="BC167" s="47"/>
      <c r="BD167" s="47"/>
      <c r="BE167" s="47"/>
      <c r="BF167" s="47"/>
      <c r="BG167" s="81"/>
      <c r="BH167" s="47"/>
      <c r="BI167" s="47"/>
      <c r="BJ167" s="47"/>
      <c r="BK167" s="56"/>
    </row>
    <row r="168" ht="21.0" customHeight="1">
      <c r="A168" s="78"/>
      <c r="B168" s="44" t="s">
        <v>138</v>
      </c>
      <c r="C168" s="44" t="s">
        <v>243</v>
      </c>
      <c r="D168" s="45">
        <v>45124.0</v>
      </c>
      <c r="E168" s="45">
        <v>45127.0</v>
      </c>
      <c r="F168" s="44" t="s">
        <v>30</v>
      </c>
      <c r="G168" s="44" t="s">
        <v>26</v>
      </c>
      <c r="H168" s="44" t="s">
        <v>21</v>
      </c>
      <c r="I168" s="132"/>
      <c r="J168" s="47"/>
      <c r="K168" s="47"/>
      <c r="L168" s="47"/>
      <c r="M168" s="48"/>
      <c r="N168" s="61"/>
      <c r="O168" s="47"/>
      <c r="P168" s="47"/>
      <c r="Q168" s="47"/>
      <c r="R168" s="48"/>
      <c r="S168" s="50"/>
      <c r="T168" s="47"/>
      <c r="U168" s="47"/>
      <c r="V168" s="47"/>
      <c r="W168" s="48"/>
      <c r="X168" s="52"/>
      <c r="Y168" s="47"/>
      <c r="Z168" s="47"/>
      <c r="AA168" s="47"/>
      <c r="AB168" s="48"/>
      <c r="AC168" s="50"/>
      <c r="AD168" s="47"/>
      <c r="AE168" s="47"/>
      <c r="AF168" s="47"/>
      <c r="AG168" s="48"/>
      <c r="AH168" s="52"/>
      <c r="AI168" s="47"/>
      <c r="AJ168" s="47"/>
      <c r="AK168" s="47"/>
      <c r="AL168" s="48"/>
      <c r="AM168" s="106">
        <v>1423.77</v>
      </c>
      <c r="AN168" s="47"/>
      <c r="AO168" s="47"/>
      <c r="AP168" s="47"/>
      <c r="AQ168" s="48"/>
      <c r="AR168" s="82">
        <v>1339.49</v>
      </c>
      <c r="AS168" s="47"/>
      <c r="AT168" s="47"/>
      <c r="AU168" s="47"/>
      <c r="AV168" s="48"/>
      <c r="AW168" s="79"/>
      <c r="AX168" s="47"/>
      <c r="AY168" s="47"/>
      <c r="AZ168" s="47"/>
      <c r="BA168" s="48"/>
      <c r="BB168" s="80"/>
      <c r="BC168" s="47"/>
      <c r="BD168" s="47"/>
      <c r="BE168" s="47"/>
      <c r="BF168" s="47"/>
      <c r="BG168" s="81"/>
      <c r="BH168" s="47"/>
      <c r="BI168" s="47"/>
      <c r="BJ168" s="47"/>
      <c r="BK168" s="56"/>
    </row>
    <row r="169" ht="21.0" customHeight="1">
      <c r="A169" s="78"/>
      <c r="B169" s="44" t="s">
        <v>263</v>
      </c>
      <c r="C169" s="44" t="s">
        <v>243</v>
      </c>
      <c r="D169" s="45">
        <v>45124.0</v>
      </c>
      <c r="E169" s="45">
        <v>45131.0</v>
      </c>
      <c r="F169" s="44" t="s">
        <v>30</v>
      </c>
      <c r="G169" s="44" t="s">
        <v>26</v>
      </c>
      <c r="H169" s="44" t="s">
        <v>21</v>
      </c>
      <c r="I169" s="60"/>
      <c r="J169" s="47"/>
      <c r="K169" s="47"/>
      <c r="L169" s="47"/>
      <c r="M169" s="48"/>
      <c r="N169" s="61"/>
      <c r="O169" s="47"/>
      <c r="P169" s="47"/>
      <c r="Q169" s="47"/>
      <c r="R169" s="48"/>
      <c r="S169" s="50"/>
      <c r="T169" s="47"/>
      <c r="U169" s="47"/>
      <c r="V169" s="47"/>
      <c r="W169" s="48"/>
      <c r="X169" s="51"/>
      <c r="Y169" s="47"/>
      <c r="Z169" s="47"/>
      <c r="AA169" s="47"/>
      <c r="AB169" s="48"/>
      <c r="AC169" s="50"/>
      <c r="AD169" s="47"/>
      <c r="AE169" s="47"/>
      <c r="AF169" s="47"/>
      <c r="AG169" s="48"/>
      <c r="AH169" s="52"/>
      <c r="AI169" s="47"/>
      <c r="AJ169" s="47"/>
      <c r="AK169" s="47"/>
      <c r="AL169" s="48"/>
      <c r="AM169" s="106">
        <v>1033.84</v>
      </c>
      <c r="AN169" s="47"/>
      <c r="AO169" s="47"/>
      <c r="AP169" s="47"/>
      <c r="AQ169" s="48"/>
      <c r="AR169" s="82">
        <v>1157.84</v>
      </c>
      <c r="AS169" s="47"/>
      <c r="AT169" s="47"/>
      <c r="AU169" s="47"/>
      <c r="AV169" s="48"/>
      <c r="AW169" s="79"/>
      <c r="AX169" s="47"/>
      <c r="AY169" s="47"/>
      <c r="AZ169" s="47"/>
      <c r="BA169" s="48"/>
      <c r="BB169" s="80"/>
      <c r="BC169" s="47"/>
      <c r="BD169" s="47"/>
      <c r="BE169" s="47"/>
      <c r="BF169" s="47"/>
      <c r="BG169" s="81"/>
      <c r="BH169" s="47"/>
      <c r="BI169" s="47"/>
      <c r="BJ169" s="47"/>
      <c r="BK169" s="56"/>
    </row>
    <row r="170" ht="21.0" customHeight="1">
      <c r="A170" s="78"/>
      <c r="B170" s="44" t="s">
        <v>93</v>
      </c>
      <c r="C170" s="44" t="s">
        <v>202</v>
      </c>
      <c r="D170" s="45">
        <v>45124.0</v>
      </c>
      <c r="E170" s="45">
        <v>45127.0</v>
      </c>
      <c r="F170" s="44" t="s">
        <v>30</v>
      </c>
      <c r="G170" s="44" t="s">
        <v>26</v>
      </c>
      <c r="H170" s="57" t="s">
        <v>21</v>
      </c>
      <c r="I170" s="50"/>
      <c r="J170" s="47"/>
      <c r="K170" s="47"/>
      <c r="L170" s="47"/>
      <c r="M170" s="48"/>
      <c r="N170" s="61"/>
      <c r="O170" s="47"/>
      <c r="P170" s="47"/>
      <c r="Q170" s="47"/>
      <c r="R170" s="48"/>
      <c r="S170" s="91"/>
      <c r="T170" s="47"/>
      <c r="U170" s="47"/>
      <c r="V170" s="47"/>
      <c r="W170" s="48"/>
      <c r="X170" s="100"/>
      <c r="Y170" s="47"/>
      <c r="Z170" s="47"/>
      <c r="AA170" s="47"/>
      <c r="AB170" s="48"/>
      <c r="AC170" s="91"/>
      <c r="AD170" s="47"/>
      <c r="AE170" s="47"/>
      <c r="AF170" s="47"/>
      <c r="AG170" s="48"/>
      <c r="AH170" s="52"/>
      <c r="AI170" s="47"/>
      <c r="AJ170" s="47"/>
      <c r="AK170" s="47"/>
      <c r="AL170" s="48"/>
      <c r="AM170" s="106">
        <v>1271.22</v>
      </c>
      <c r="AN170" s="47"/>
      <c r="AO170" s="47"/>
      <c r="AP170" s="47"/>
      <c r="AQ170" s="48"/>
      <c r="AR170" s="82">
        <v>1252.28</v>
      </c>
      <c r="AS170" s="47"/>
      <c r="AT170" s="47"/>
      <c r="AU170" s="47"/>
      <c r="AV170" s="48"/>
      <c r="AW170" s="79"/>
      <c r="AX170" s="47"/>
      <c r="AY170" s="47"/>
      <c r="AZ170" s="47"/>
      <c r="BA170" s="48"/>
      <c r="BB170" s="80"/>
      <c r="BC170" s="47"/>
      <c r="BD170" s="47"/>
      <c r="BE170" s="47"/>
      <c r="BF170" s="47"/>
      <c r="BG170" s="81"/>
      <c r="BH170" s="47"/>
      <c r="BI170" s="47"/>
      <c r="BJ170" s="47"/>
      <c r="BK170" s="56"/>
    </row>
    <row r="171" ht="21.0" customHeight="1">
      <c r="A171" s="78"/>
      <c r="B171" s="44" t="s">
        <v>42</v>
      </c>
      <c r="C171" s="44" t="s">
        <v>75</v>
      </c>
      <c r="D171" s="45">
        <v>45125.0</v>
      </c>
      <c r="E171" s="45">
        <v>45125.0</v>
      </c>
      <c r="F171" s="44" t="s">
        <v>30</v>
      </c>
      <c r="G171" s="44" t="s">
        <v>26</v>
      </c>
      <c r="H171" s="44" t="s">
        <v>60</v>
      </c>
      <c r="I171" s="60"/>
      <c r="J171" s="47"/>
      <c r="K171" s="47"/>
      <c r="L171" s="47"/>
      <c r="M171" s="48"/>
      <c r="N171" s="61"/>
      <c r="O171" s="47"/>
      <c r="P171" s="47"/>
      <c r="Q171" s="47"/>
      <c r="R171" s="48"/>
      <c r="S171" s="50"/>
      <c r="T171" s="47"/>
      <c r="U171" s="47"/>
      <c r="V171" s="47"/>
      <c r="W171" s="48"/>
      <c r="X171" s="51"/>
      <c r="Y171" s="47"/>
      <c r="Z171" s="47"/>
      <c r="AA171" s="47"/>
      <c r="AB171" s="48"/>
      <c r="AC171" s="50"/>
      <c r="AD171" s="47"/>
      <c r="AE171" s="47"/>
      <c r="AF171" s="47"/>
      <c r="AG171" s="48"/>
      <c r="AH171" s="51"/>
      <c r="AI171" s="47"/>
      <c r="AJ171" s="47"/>
      <c r="AK171" s="47"/>
      <c r="AL171" s="48"/>
      <c r="AM171" s="46" t="s">
        <v>56</v>
      </c>
      <c r="AN171" s="47"/>
      <c r="AO171" s="47"/>
      <c r="AP171" s="47"/>
      <c r="AQ171" s="48"/>
      <c r="AR171" s="49">
        <v>51.83</v>
      </c>
      <c r="AS171" s="47"/>
      <c r="AT171" s="47"/>
      <c r="AU171" s="47"/>
      <c r="AV171" s="48"/>
      <c r="AW171" s="79"/>
      <c r="AX171" s="47"/>
      <c r="AY171" s="47"/>
      <c r="AZ171" s="47"/>
      <c r="BA171" s="48"/>
      <c r="BB171" s="80"/>
      <c r="BC171" s="47"/>
      <c r="BD171" s="47"/>
      <c r="BE171" s="47"/>
      <c r="BF171" s="47"/>
      <c r="BG171" s="81"/>
      <c r="BH171" s="47"/>
      <c r="BI171" s="47"/>
      <c r="BJ171" s="47"/>
      <c r="BK171" s="56"/>
    </row>
    <row r="172" ht="21.0" customHeight="1">
      <c r="A172" s="78"/>
      <c r="B172" s="44" t="s">
        <v>288</v>
      </c>
      <c r="C172" s="44" t="s">
        <v>283</v>
      </c>
      <c r="D172" s="45">
        <v>45133.0</v>
      </c>
      <c r="E172" s="45">
        <v>45135.0</v>
      </c>
      <c r="F172" s="44" t="s">
        <v>284</v>
      </c>
      <c r="G172" s="44" t="s">
        <v>59</v>
      </c>
      <c r="H172" s="44" t="s">
        <v>27</v>
      </c>
      <c r="I172" s="60"/>
      <c r="J172" s="47"/>
      <c r="K172" s="47"/>
      <c r="L172" s="47"/>
      <c r="M172" s="48"/>
      <c r="N172" s="61"/>
      <c r="O172" s="47"/>
      <c r="P172" s="47"/>
      <c r="Q172" s="47"/>
      <c r="R172" s="48"/>
      <c r="S172" s="50"/>
      <c r="T172" s="47"/>
      <c r="U172" s="47"/>
      <c r="V172" s="47"/>
      <c r="W172" s="48"/>
      <c r="X172" s="51"/>
      <c r="Y172" s="47"/>
      <c r="Z172" s="47"/>
      <c r="AA172" s="47"/>
      <c r="AB172" s="48"/>
      <c r="AC172" s="50"/>
      <c r="AD172" s="47"/>
      <c r="AE172" s="47"/>
      <c r="AF172" s="47"/>
      <c r="AG172" s="48"/>
      <c r="AH172" s="52"/>
      <c r="AI172" s="47"/>
      <c r="AJ172" s="47"/>
      <c r="AK172" s="47"/>
      <c r="AL172" s="48"/>
      <c r="AM172" s="106">
        <v>939.23</v>
      </c>
      <c r="AN172" s="47"/>
      <c r="AO172" s="47"/>
      <c r="AP172" s="47"/>
      <c r="AQ172" s="48"/>
      <c r="AR172" s="82">
        <v>939.23</v>
      </c>
      <c r="AS172" s="47"/>
      <c r="AT172" s="47"/>
      <c r="AU172" s="47"/>
      <c r="AV172" s="48"/>
      <c r="AW172" s="79"/>
      <c r="AX172" s="47"/>
      <c r="AY172" s="47"/>
      <c r="AZ172" s="47"/>
      <c r="BA172" s="48"/>
      <c r="BB172" s="80"/>
      <c r="BC172" s="47"/>
      <c r="BD172" s="47"/>
      <c r="BE172" s="47"/>
      <c r="BF172" s="47"/>
      <c r="BG172" s="81"/>
      <c r="BH172" s="47"/>
      <c r="BI172" s="47"/>
      <c r="BJ172" s="47"/>
      <c r="BK172" s="56"/>
    </row>
    <row r="173" ht="21.0" customHeight="1">
      <c r="A173" s="78"/>
      <c r="B173" s="44" t="s">
        <v>23</v>
      </c>
      <c r="C173" s="44" t="s">
        <v>190</v>
      </c>
      <c r="D173" s="45">
        <v>45131.0</v>
      </c>
      <c r="E173" s="45">
        <v>45135.0</v>
      </c>
      <c r="F173" s="44" t="s">
        <v>32</v>
      </c>
      <c r="G173" s="44" t="s">
        <v>26</v>
      </c>
      <c r="H173" s="57" t="s">
        <v>21</v>
      </c>
      <c r="I173" s="50"/>
      <c r="J173" s="47"/>
      <c r="K173" s="47"/>
      <c r="L173" s="47"/>
      <c r="M173" s="48"/>
      <c r="N173" s="61"/>
      <c r="O173" s="47"/>
      <c r="P173" s="47"/>
      <c r="Q173" s="47"/>
      <c r="R173" s="48"/>
      <c r="S173" s="91"/>
      <c r="T173" s="47"/>
      <c r="U173" s="47"/>
      <c r="V173" s="47"/>
      <c r="W173" s="48"/>
      <c r="X173" s="100"/>
      <c r="Y173" s="47"/>
      <c r="Z173" s="47"/>
      <c r="AA173" s="47"/>
      <c r="AB173" s="48"/>
      <c r="AC173" s="91"/>
      <c r="AD173" s="47"/>
      <c r="AE173" s="47"/>
      <c r="AF173" s="47"/>
      <c r="AG173" s="48"/>
      <c r="AH173" s="52"/>
      <c r="AI173" s="47"/>
      <c r="AJ173" s="47"/>
      <c r="AK173" s="47"/>
      <c r="AL173" s="48"/>
      <c r="AM173" s="106">
        <v>1850.62</v>
      </c>
      <c r="AN173" s="47"/>
      <c r="AO173" s="47"/>
      <c r="AP173" s="47"/>
      <c r="AQ173" s="48"/>
      <c r="AR173" s="82">
        <v>2157.8</v>
      </c>
      <c r="AS173" s="47"/>
      <c r="AT173" s="47"/>
      <c r="AU173" s="47"/>
      <c r="AV173" s="48"/>
      <c r="AW173" s="79"/>
      <c r="AX173" s="47"/>
      <c r="AY173" s="47"/>
      <c r="AZ173" s="47"/>
      <c r="BA173" s="48"/>
      <c r="BB173" s="80"/>
      <c r="BC173" s="47"/>
      <c r="BD173" s="47"/>
      <c r="BE173" s="47"/>
      <c r="BF173" s="47"/>
      <c r="BG173" s="81"/>
      <c r="BH173" s="47"/>
      <c r="BI173" s="47"/>
      <c r="BJ173" s="47"/>
      <c r="BK173" s="56"/>
    </row>
    <row r="174" ht="21.0" customHeight="1">
      <c r="A174" s="78"/>
      <c r="B174" s="44" t="s">
        <v>255</v>
      </c>
      <c r="C174" s="44" t="s">
        <v>278</v>
      </c>
      <c r="D174" s="45">
        <v>45129.0</v>
      </c>
      <c r="E174" s="45">
        <v>45134.0</v>
      </c>
      <c r="F174" s="44" t="s">
        <v>279</v>
      </c>
      <c r="G174" s="44" t="s">
        <v>84</v>
      </c>
      <c r="H174" s="44" t="s">
        <v>124</v>
      </c>
      <c r="I174" s="60"/>
      <c r="J174" s="47"/>
      <c r="K174" s="47"/>
      <c r="L174" s="47"/>
      <c r="M174" s="48"/>
      <c r="N174" s="61"/>
      <c r="O174" s="47"/>
      <c r="P174" s="47"/>
      <c r="Q174" s="47"/>
      <c r="R174" s="48"/>
      <c r="S174" s="50"/>
      <c r="T174" s="47"/>
      <c r="U174" s="47"/>
      <c r="V174" s="47"/>
      <c r="W174" s="48"/>
      <c r="X174" s="51"/>
      <c r="Y174" s="47"/>
      <c r="Z174" s="47"/>
      <c r="AA174" s="47"/>
      <c r="AB174" s="48"/>
      <c r="AC174" s="50"/>
      <c r="AD174" s="47"/>
      <c r="AE174" s="47"/>
      <c r="AF174" s="47"/>
      <c r="AG174" s="48"/>
      <c r="AH174" s="52"/>
      <c r="AI174" s="47"/>
      <c r="AJ174" s="47"/>
      <c r="AK174" s="47"/>
      <c r="AL174" s="48"/>
      <c r="AM174" s="106">
        <v>2100.88</v>
      </c>
      <c r="AN174" s="47"/>
      <c r="AO174" s="47"/>
      <c r="AP174" s="47"/>
      <c r="AQ174" s="48"/>
      <c r="AR174" s="82">
        <v>2001.31</v>
      </c>
      <c r="AS174" s="47"/>
      <c r="AT174" s="47"/>
      <c r="AU174" s="47"/>
      <c r="AV174" s="48"/>
      <c r="AW174" s="79"/>
      <c r="AX174" s="47"/>
      <c r="AY174" s="47"/>
      <c r="AZ174" s="47"/>
      <c r="BA174" s="48"/>
      <c r="BB174" s="80"/>
      <c r="BC174" s="47"/>
      <c r="BD174" s="47"/>
      <c r="BE174" s="47"/>
      <c r="BF174" s="47"/>
      <c r="BG174" s="81"/>
      <c r="BH174" s="47"/>
      <c r="BI174" s="47"/>
      <c r="BJ174" s="47"/>
      <c r="BK174" s="56"/>
    </row>
    <row r="175" ht="21.0" customHeight="1">
      <c r="A175" s="78"/>
      <c r="B175" s="44" t="s">
        <v>302</v>
      </c>
      <c r="C175" s="44" t="s">
        <v>278</v>
      </c>
      <c r="D175" s="45">
        <v>45129.0</v>
      </c>
      <c r="E175" s="45">
        <v>45134.0</v>
      </c>
      <c r="F175" s="44" t="s">
        <v>279</v>
      </c>
      <c r="G175" s="44" t="s">
        <v>84</v>
      </c>
      <c r="H175" s="44" t="s">
        <v>124</v>
      </c>
      <c r="I175" s="60"/>
      <c r="J175" s="47"/>
      <c r="K175" s="47"/>
      <c r="L175" s="47"/>
      <c r="M175" s="48"/>
      <c r="N175" s="61"/>
      <c r="O175" s="47"/>
      <c r="P175" s="47"/>
      <c r="Q175" s="47"/>
      <c r="R175" s="48"/>
      <c r="S175" s="50"/>
      <c r="T175" s="47"/>
      <c r="U175" s="47"/>
      <c r="V175" s="47"/>
      <c r="W175" s="48"/>
      <c r="X175" s="51"/>
      <c r="Y175" s="47"/>
      <c r="Z175" s="47"/>
      <c r="AA175" s="47"/>
      <c r="AB175" s="48"/>
      <c r="AC175" s="50"/>
      <c r="AD175" s="47"/>
      <c r="AE175" s="47"/>
      <c r="AF175" s="47"/>
      <c r="AG175" s="48"/>
      <c r="AH175" s="52"/>
      <c r="AI175" s="47"/>
      <c r="AJ175" s="47"/>
      <c r="AK175" s="47"/>
      <c r="AL175" s="48"/>
      <c r="AM175" s="106">
        <v>1906.82</v>
      </c>
      <c r="AN175" s="47"/>
      <c r="AO175" s="47"/>
      <c r="AP175" s="47"/>
      <c r="AQ175" s="48"/>
      <c r="AR175" s="82">
        <v>2059.79</v>
      </c>
      <c r="AS175" s="47"/>
      <c r="AT175" s="47"/>
      <c r="AU175" s="47"/>
      <c r="AV175" s="48"/>
      <c r="AW175" s="79"/>
      <c r="AX175" s="47"/>
      <c r="AY175" s="47"/>
      <c r="AZ175" s="47"/>
      <c r="BA175" s="48"/>
      <c r="BB175" s="80"/>
      <c r="BC175" s="47"/>
      <c r="BD175" s="47"/>
      <c r="BE175" s="47"/>
      <c r="BF175" s="47"/>
      <c r="BG175" s="81"/>
      <c r="BH175" s="47"/>
      <c r="BI175" s="47"/>
      <c r="BJ175" s="47"/>
      <c r="BK175" s="56"/>
    </row>
    <row r="176" ht="21.0" customHeight="1">
      <c r="A176" s="78"/>
      <c r="B176" s="44" t="s">
        <v>173</v>
      </c>
      <c r="C176" s="44" t="s">
        <v>210</v>
      </c>
      <c r="D176" s="45">
        <v>45137.0</v>
      </c>
      <c r="E176" s="45">
        <v>45142.0</v>
      </c>
      <c r="F176" s="44" t="s">
        <v>174</v>
      </c>
      <c r="G176" s="44" t="s">
        <v>59</v>
      </c>
      <c r="H176" s="44" t="s">
        <v>27</v>
      </c>
      <c r="I176" s="60"/>
      <c r="J176" s="47"/>
      <c r="K176" s="47"/>
      <c r="L176" s="47"/>
      <c r="M176" s="48"/>
      <c r="N176" s="61"/>
      <c r="O176" s="47"/>
      <c r="P176" s="47"/>
      <c r="Q176" s="47"/>
      <c r="R176" s="47"/>
      <c r="S176" s="50"/>
      <c r="T176" s="47"/>
      <c r="U176" s="47"/>
      <c r="V176" s="47"/>
      <c r="W176" s="48"/>
      <c r="X176" s="61"/>
      <c r="Y176" s="47"/>
      <c r="Z176" s="47"/>
      <c r="AA176" s="47"/>
      <c r="AB176" s="48"/>
      <c r="AC176" s="50"/>
      <c r="AD176" s="47"/>
      <c r="AE176" s="47"/>
      <c r="AF176" s="47"/>
      <c r="AG176" s="48"/>
      <c r="AH176" s="51"/>
      <c r="AI176" s="47"/>
      <c r="AJ176" s="47"/>
      <c r="AK176" s="47"/>
      <c r="AL176" s="48"/>
      <c r="AM176" s="46">
        <v>2208.25</v>
      </c>
      <c r="AN176" s="47"/>
      <c r="AO176" s="47"/>
      <c r="AP176" s="47"/>
      <c r="AQ176" s="48"/>
      <c r="AR176" s="69">
        <v>2038.26</v>
      </c>
      <c r="AS176" s="47"/>
      <c r="AT176" s="47"/>
      <c r="AU176" s="47"/>
      <c r="AV176" s="48"/>
      <c r="AW176" s="79"/>
      <c r="AX176" s="47"/>
      <c r="AY176" s="47"/>
      <c r="AZ176" s="47"/>
      <c r="BA176" s="48"/>
      <c r="BB176" s="80"/>
      <c r="BC176" s="47"/>
      <c r="BD176" s="47"/>
      <c r="BE176" s="47"/>
      <c r="BF176" s="47"/>
      <c r="BG176" s="81"/>
      <c r="BH176" s="47"/>
      <c r="BI176" s="47"/>
      <c r="BJ176" s="47"/>
      <c r="BK176" s="56"/>
    </row>
    <row r="177" ht="21.0" customHeight="1">
      <c r="A177" s="78"/>
      <c r="B177" s="44" t="s">
        <v>146</v>
      </c>
      <c r="C177" s="44" t="s">
        <v>260</v>
      </c>
      <c r="D177" s="45">
        <v>45133.0</v>
      </c>
      <c r="E177" s="45">
        <v>45135.0</v>
      </c>
      <c r="F177" s="44" t="s">
        <v>30</v>
      </c>
      <c r="G177" s="44" t="s">
        <v>59</v>
      </c>
      <c r="H177" s="44" t="s">
        <v>27</v>
      </c>
      <c r="I177" s="60"/>
      <c r="J177" s="47"/>
      <c r="K177" s="47"/>
      <c r="L177" s="47"/>
      <c r="M177" s="48"/>
      <c r="N177" s="61"/>
      <c r="O177" s="47"/>
      <c r="P177" s="47"/>
      <c r="Q177" s="47"/>
      <c r="R177" s="47"/>
      <c r="S177" s="50"/>
      <c r="T177" s="47"/>
      <c r="U177" s="47"/>
      <c r="V177" s="47"/>
      <c r="W177" s="48"/>
      <c r="X177" s="61"/>
      <c r="Y177" s="47"/>
      <c r="Z177" s="47"/>
      <c r="AA177" s="47"/>
      <c r="AB177" s="48"/>
      <c r="AC177" s="50"/>
      <c r="AD177" s="47"/>
      <c r="AE177" s="47"/>
      <c r="AF177" s="47"/>
      <c r="AG177" s="48"/>
      <c r="AH177" s="51"/>
      <c r="AI177" s="47"/>
      <c r="AJ177" s="47"/>
      <c r="AK177" s="47"/>
      <c r="AL177" s="48"/>
      <c r="AM177" s="46">
        <v>781.12</v>
      </c>
      <c r="AN177" s="47"/>
      <c r="AO177" s="47"/>
      <c r="AP177" s="47"/>
      <c r="AQ177" s="48"/>
      <c r="AR177" s="69">
        <v>641.12</v>
      </c>
      <c r="AS177" s="47"/>
      <c r="AT177" s="47"/>
      <c r="AU177" s="47"/>
      <c r="AV177" s="48"/>
      <c r="AW177" s="79"/>
      <c r="AX177" s="47"/>
      <c r="AY177" s="47"/>
      <c r="AZ177" s="47"/>
      <c r="BA177" s="48"/>
      <c r="BB177" s="80"/>
      <c r="BC177" s="47"/>
      <c r="BD177" s="47"/>
      <c r="BE177" s="47"/>
      <c r="BF177" s="47"/>
      <c r="BG177" s="81"/>
      <c r="BH177" s="47"/>
      <c r="BI177" s="47"/>
      <c r="BJ177" s="47"/>
      <c r="BK177" s="56"/>
    </row>
    <row r="178" ht="21.0" customHeight="1">
      <c r="A178" s="78"/>
      <c r="B178" s="44" t="s">
        <v>140</v>
      </c>
      <c r="C178" s="44" t="s">
        <v>257</v>
      </c>
      <c r="D178" s="45">
        <v>45124.0</v>
      </c>
      <c r="E178" s="45">
        <v>45128.0</v>
      </c>
      <c r="F178" s="44" t="s">
        <v>258</v>
      </c>
      <c r="G178" s="44" t="s">
        <v>26</v>
      </c>
      <c r="H178" s="44" t="s">
        <v>21</v>
      </c>
      <c r="I178" s="60"/>
      <c r="J178" s="47"/>
      <c r="K178" s="47"/>
      <c r="L178" s="47"/>
      <c r="M178" s="48"/>
      <c r="N178" s="61"/>
      <c r="O178" s="47"/>
      <c r="P178" s="47"/>
      <c r="Q178" s="47"/>
      <c r="R178" s="47"/>
      <c r="S178" s="50"/>
      <c r="T178" s="47"/>
      <c r="U178" s="47"/>
      <c r="V178" s="47"/>
      <c r="W178" s="48"/>
      <c r="X178" s="61"/>
      <c r="Y178" s="47"/>
      <c r="Z178" s="47"/>
      <c r="AA178" s="47"/>
      <c r="AB178" s="48"/>
      <c r="AC178" s="50"/>
      <c r="AD178" s="47"/>
      <c r="AE178" s="47"/>
      <c r="AF178" s="47"/>
      <c r="AG178" s="48"/>
      <c r="AH178" s="51"/>
      <c r="AI178" s="47"/>
      <c r="AJ178" s="47"/>
      <c r="AK178" s="47"/>
      <c r="AL178" s="48"/>
      <c r="AM178" s="46">
        <v>1486.28</v>
      </c>
      <c r="AN178" s="47"/>
      <c r="AO178" s="47"/>
      <c r="AP178" s="47"/>
      <c r="AQ178" s="48"/>
      <c r="AR178" s="69">
        <v>1953.76</v>
      </c>
      <c r="AS178" s="47"/>
      <c r="AT178" s="47"/>
      <c r="AU178" s="47"/>
      <c r="AV178" s="48"/>
      <c r="AW178" s="79"/>
      <c r="AX178" s="47"/>
      <c r="AY178" s="47"/>
      <c r="AZ178" s="47"/>
      <c r="BA178" s="48"/>
      <c r="BB178" s="80"/>
      <c r="BC178" s="47"/>
      <c r="BD178" s="47"/>
      <c r="BE178" s="47"/>
      <c r="BF178" s="47"/>
      <c r="BG178" s="81"/>
      <c r="BH178" s="47"/>
      <c r="BI178" s="47"/>
      <c r="BJ178" s="47"/>
      <c r="BK178" s="56"/>
    </row>
    <row r="179" ht="21.0" customHeight="1">
      <c r="A179" s="78"/>
      <c r="B179" s="44" t="s">
        <v>118</v>
      </c>
      <c r="C179" s="44" t="s">
        <v>215</v>
      </c>
      <c r="D179" s="45">
        <v>45122.0</v>
      </c>
      <c r="E179" s="45">
        <v>45136.0</v>
      </c>
      <c r="F179" s="44" t="s">
        <v>212</v>
      </c>
      <c r="G179" s="44" t="s">
        <v>26</v>
      </c>
      <c r="H179" s="44" t="s">
        <v>49</v>
      </c>
      <c r="I179" s="60"/>
      <c r="J179" s="47"/>
      <c r="K179" s="47"/>
      <c r="L179" s="47"/>
      <c r="M179" s="48"/>
      <c r="N179" s="61"/>
      <c r="O179" s="47"/>
      <c r="P179" s="47"/>
      <c r="Q179" s="47"/>
      <c r="R179" s="47"/>
      <c r="S179" s="50"/>
      <c r="T179" s="47"/>
      <c r="U179" s="47"/>
      <c r="V179" s="47"/>
      <c r="W179" s="48"/>
      <c r="X179" s="61"/>
      <c r="Y179" s="47"/>
      <c r="Z179" s="47"/>
      <c r="AA179" s="47"/>
      <c r="AB179" s="48"/>
      <c r="AC179" s="50"/>
      <c r="AD179" s="47"/>
      <c r="AE179" s="47"/>
      <c r="AF179" s="47"/>
      <c r="AG179" s="48"/>
      <c r="AH179" s="51"/>
      <c r="AI179" s="47"/>
      <c r="AJ179" s="47"/>
      <c r="AK179" s="47"/>
      <c r="AL179" s="48"/>
      <c r="AM179" s="46">
        <v>8049.8</v>
      </c>
      <c r="AN179" s="47"/>
      <c r="AO179" s="47"/>
      <c r="AP179" s="47"/>
      <c r="AQ179" s="48"/>
      <c r="AR179" s="69">
        <v>7489.59</v>
      </c>
      <c r="AS179" s="47"/>
      <c r="AT179" s="47"/>
      <c r="AU179" s="47"/>
      <c r="AV179" s="48"/>
      <c r="AW179" s="79"/>
      <c r="AX179" s="47"/>
      <c r="AY179" s="47"/>
      <c r="AZ179" s="47"/>
      <c r="BA179" s="48"/>
      <c r="BB179" s="80"/>
      <c r="BC179" s="47"/>
      <c r="BD179" s="47"/>
      <c r="BE179" s="47"/>
      <c r="BF179" s="47"/>
      <c r="BG179" s="81"/>
      <c r="BH179" s="47"/>
      <c r="BI179" s="47"/>
      <c r="BJ179" s="47"/>
      <c r="BK179" s="56"/>
    </row>
    <row r="180" ht="21.0" customHeight="1">
      <c r="A180" s="78"/>
      <c r="B180" s="44" t="s">
        <v>144</v>
      </c>
      <c r="C180" s="44" t="s">
        <v>208</v>
      </c>
      <c r="D180" s="45">
        <v>45128.0</v>
      </c>
      <c r="E180" s="45">
        <v>45136.0</v>
      </c>
      <c r="F180" s="44" t="s">
        <v>212</v>
      </c>
      <c r="G180" s="44" t="s">
        <v>26</v>
      </c>
      <c r="H180" s="44" t="s">
        <v>27</v>
      </c>
      <c r="I180" s="60"/>
      <c r="J180" s="47"/>
      <c r="K180" s="47"/>
      <c r="L180" s="47"/>
      <c r="M180" s="48"/>
      <c r="N180" s="61"/>
      <c r="O180" s="47"/>
      <c r="P180" s="47"/>
      <c r="Q180" s="47"/>
      <c r="R180" s="47"/>
      <c r="S180" s="50"/>
      <c r="T180" s="47"/>
      <c r="U180" s="47"/>
      <c r="V180" s="47"/>
      <c r="W180" s="48"/>
      <c r="X180" s="61"/>
      <c r="Y180" s="47"/>
      <c r="Z180" s="47"/>
      <c r="AA180" s="47"/>
      <c r="AB180" s="48"/>
      <c r="AC180" s="50"/>
      <c r="AD180" s="47"/>
      <c r="AE180" s="47"/>
      <c r="AF180" s="47"/>
      <c r="AG180" s="48"/>
      <c r="AH180" s="51"/>
      <c r="AI180" s="47"/>
      <c r="AJ180" s="47"/>
      <c r="AK180" s="47"/>
      <c r="AL180" s="48"/>
      <c r="AM180" s="46">
        <v>3540.98</v>
      </c>
      <c r="AN180" s="47"/>
      <c r="AO180" s="47"/>
      <c r="AP180" s="47"/>
      <c r="AQ180" s="48"/>
      <c r="AR180" s="69">
        <v>3567.02</v>
      </c>
      <c r="AS180" s="47"/>
      <c r="AT180" s="47"/>
      <c r="AU180" s="47"/>
      <c r="AV180" s="48"/>
      <c r="AW180" s="79"/>
      <c r="AX180" s="47"/>
      <c r="AY180" s="47"/>
      <c r="AZ180" s="47"/>
      <c r="BA180" s="48"/>
      <c r="BB180" s="80"/>
      <c r="BC180" s="47"/>
      <c r="BD180" s="47"/>
      <c r="BE180" s="47"/>
      <c r="BF180" s="47"/>
      <c r="BG180" s="81"/>
      <c r="BH180" s="47"/>
      <c r="BI180" s="47"/>
      <c r="BJ180" s="47"/>
      <c r="BK180" s="56"/>
    </row>
    <row r="181" ht="21.0" customHeight="1">
      <c r="A181" s="78"/>
      <c r="B181" s="44" t="s">
        <v>57</v>
      </c>
      <c r="C181" s="44" t="s">
        <v>119</v>
      </c>
      <c r="D181" s="45">
        <v>45138.0</v>
      </c>
      <c r="E181" s="45">
        <v>45143.0</v>
      </c>
      <c r="F181" s="44" t="s">
        <v>120</v>
      </c>
      <c r="G181" s="44" t="s">
        <v>64</v>
      </c>
      <c r="H181" s="57" t="s">
        <v>21</v>
      </c>
      <c r="I181" s="50"/>
      <c r="J181" s="47"/>
      <c r="K181" s="47"/>
      <c r="L181" s="47"/>
      <c r="M181" s="48"/>
      <c r="N181" s="61"/>
      <c r="O181" s="47"/>
      <c r="P181" s="47"/>
      <c r="Q181" s="47"/>
      <c r="R181" s="48"/>
      <c r="S181" s="50"/>
      <c r="T181" s="47"/>
      <c r="U181" s="47"/>
      <c r="V181" s="47"/>
      <c r="W181" s="48"/>
      <c r="X181" s="51"/>
      <c r="Y181" s="47"/>
      <c r="Z181" s="47"/>
      <c r="AA181" s="47"/>
      <c r="AB181" s="48"/>
      <c r="AC181" s="50"/>
      <c r="AD181" s="47"/>
      <c r="AE181" s="47"/>
      <c r="AF181" s="47"/>
      <c r="AG181" s="48"/>
      <c r="AH181" s="51"/>
      <c r="AI181" s="47"/>
      <c r="AJ181" s="47"/>
      <c r="AK181" s="47"/>
      <c r="AL181" s="48"/>
      <c r="AM181" s="46">
        <v>1700.77</v>
      </c>
      <c r="AN181" s="47"/>
      <c r="AO181" s="47"/>
      <c r="AP181" s="47"/>
      <c r="AQ181" s="48"/>
      <c r="AR181" s="69">
        <v>1639.0</v>
      </c>
      <c r="AS181" s="47"/>
      <c r="AT181" s="47"/>
      <c r="AU181" s="47"/>
      <c r="AV181" s="48"/>
      <c r="AW181" s="79"/>
      <c r="AX181" s="47"/>
      <c r="AY181" s="47"/>
      <c r="AZ181" s="47"/>
      <c r="BA181" s="48"/>
      <c r="BB181" s="80"/>
      <c r="BC181" s="47"/>
      <c r="BD181" s="47"/>
      <c r="BE181" s="47"/>
      <c r="BF181" s="47"/>
      <c r="BG181" s="81"/>
      <c r="BH181" s="47"/>
      <c r="BI181" s="47"/>
      <c r="BJ181" s="47"/>
      <c r="BK181" s="56"/>
    </row>
    <row r="182" ht="21.0" customHeight="1">
      <c r="A182" s="78"/>
      <c r="B182" s="44" t="s">
        <v>17</v>
      </c>
      <c r="C182" s="44" t="s">
        <v>190</v>
      </c>
      <c r="D182" s="45">
        <v>45131.0</v>
      </c>
      <c r="E182" s="45">
        <v>45135.0</v>
      </c>
      <c r="F182" s="44" t="s">
        <v>32</v>
      </c>
      <c r="G182" s="44" t="s">
        <v>26</v>
      </c>
      <c r="H182" s="57" t="s">
        <v>21</v>
      </c>
      <c r="I182" s="50"/>
      <c r="J182" s="47"/>
      <c r="K182" s="47"/>
      <c r="L182" s="47"/>
      <c r="M182" s="48"/>
      <c r="N182" s="61"/>
      <c r="O182" s="47"/>
      <c r="P182" s="47"/>
      <c r="Q182" s="47"/>
      <c r="R182" s="48"/>
      <c r="S182" s="91"/>
      <c r="T182" s="47"/>
      <c r="U182" s="47"/>
      <c r="V182" s="47"/>
      <c r="W182" s="48"/>
      <c r="X182" s="100"/>
      <c r="Y182" s="47"/>
      <c r="Z182" s="47"/>
      <c r="AA182" s="47"/>
      <c r="AB182" s="48"/>
      <c r="AC182" s="91"/>
      <c r="AD182" s="47"/>
      <c r="AE182" s="47"/>
      <c r="AF182" s="47"/>
      <c r="AG182" s="48"/>
      <c r="AH182" s="52"/>
      <c r="AI182" s="47"/>
      <c r="AJ182" s="47"/>
      <c r="AK182" s="47"/>
      <c r="AL182" s="48"/>
      <c r="AM182" s="106">
        <v>1886.27</v>
      </c>
      <c r="AN182" s="47"/>
      <c r="AO182" s="47"/>
      <c r="AP182" s="47"/>
      <c r="AQ182" s="48"/>
      <c r="AR182" s="82">
        <v>2461.88</v>
      </c>
      <c r="AS182" s="47"/>
      <c r="AT182" s="47"/>
      <c r="AU182" s="47"/>
      <c r="AV182" s="48"/>
      <c r="AW182" s="79"/>
      <c r="AX182" s="47"/>
      <c r="AY182" s="47"/>
      <c r="AZ182" s="47"/>
      <c r="BA182" s="48"/>
      <c r="BB182" s="80"/>
      <c r="BC182" s="47"/>
      <c r="BD182" s="47"/>
      <c r="BE182" s="47"/>
      <c r="BF182" s="47"/>
      <c r="BG182" s="81"/>
      <c r="BH182" s="47"/>
      <c r="BI182" s="47"/>
      <c r="BJ182" s="47"/>
      <c r="BK182" s="56"/>
    </row>
    <row r="183" ht="21.0" customHeight="1">
      <c r="A183" s="78"/>
      <c r="B183" s="44" t="s">
        <v>23</v>
      </c>
      <c r="C183" s="44" t="s">
        <v>190</v>
      </c>
      <c r="D183" s="45">
        <v>45138.0</v>
      </c>
      <c r="E183" s="45">
        <v>45141.0</v>
      </c>
      <c r="F183" s="44" t="s">
        <v>180</v>
      </c>
      <c r="G183" s="44" t="s">
        <v>26</v>
      </c>
      <c r="H183" s="57" t="s">
        <v>21</v>
      </c>
      <c r="I183" s="50"/>
      <c r="J183" s="47"/>
      <c r="K183" s="47"/>
      <c r="L183" s="47"/>
      <c r="M183" s="48"/>
      <c r="N183" s="61"/>
      <c r="O183" s="47"/>
      <c r="P183" s="47"/>
      <c r="Q183" s="47"/>
      <c r="R183" s="48"/>
      <c r="S183" s="91"/>
      <c r="T183" s="47"/>
      <c r="U183" s="47"/>
      <c r="V183" s="47"/>
      <c r="W183" s="48"/>
      <c r="X183" s="100"/>
      <c r="Y183" s="47"/>
      <c r="Z183" s="47"/>
      <c r="AA183" s="47"/>
      <c r="AB183" s="48"/>
      <c r="AC183" s="91"/>
      <c r="AD183" s="47"/>
      <c r="AE183" s="47"/>
      <c r="AF183" s="47"/>
      <c r="AG183" s="48"/>
      <c r="AH183" s="52"/>
      <c r="AI183" s="47"/>
      <c r="AJ183" s="47"/>
      <c r="AK183" s="47"/>
      <c r="AL183" s="48"/>
      <c r="AM183" s="106">
        <v>909.97</v>
      </c>
      <c r="AN183" s="47"/>
      <c r="AO183" s="47"/>
      <c r="AP183" s="47"/>
      <c r="AQ183" s="48"/>
      <c r="AR183" s="82">
        <v>1026.17</v>
      </c>
      <c r="AS183" s="47"/>
      <c r="AT183" s="47"/>
      <c r="AU183" s="47"/>
      <c r="AV183" s="48"/>
      <c r="AW183" s="79"/>
      <c r="AX183" s="47"/>
      <c r="AY183" s="47"/>
      <c r="AZ183" s="47"/>
      <c r="BA183" s="48"/>
      <c r="BB183" s="80"/>
      <c r="BC183" s="47"/>
      <c r="BD183" s="47"/>
      <c r="BE183" s="47"/>
      <c r="BF183" s="47"/>
      <c r="BG183" s="81"/>
      <c r="BH183" s="47"/>
      <c r="BI183" s="47"/>
      <c r="BJ183" s="47"/>
      <c r="BK183" s="56"/>
    </row>
    <row r="184" ht="21.0" customHeight="1">
      <c r="A184" s="78"/>
      <c r="B184" s="44" t="s">
        <v>99</v>
      </c>
      <c r="C184" s="44" t="s">
        <v>273</v>
      </c>
      <c r="D184" s="45">
        <v>45138.0</v>
      </c>
      <c r="E184" s="45">
        <v>45140.0</v>
      </c>
      <c r="F184" s="44" t="s">
        <v>274</v>
      </c>
      <c r="G184" s="44" t="s">
        <v>59</v>
      </c>
      <c r="H184" s="44" t="s">
        <v>27</v>
      </c>
      <c r="I184" s="60"/>
      <c r="J184" s="47"/>
      <c r="K184" s="47"/>
      <c r="L184" s="47"/>
      <c r="M184" s="48"/>
      <c r="N184" s="61"/>
      <c r="O184" s="47"/>
      <c r="P184" s="47"/>
      <c r="Q184" s="47"/>
      <c r="R184" s="48"/>
      <c r="S184" s="50"/>
      <c r="T184" s="47"/>
      <c r="U184" s="47"/>
      <c r="V184" s="47"/>
      <c r="W184" s="48"/>
      <c r="X184" s="51"/>
      <c r="Y184" s="47"/>
      <c r="Z184" s="47"/>
      <c r="AA184" s="47"/>
      <c r="AB184" s="48"/>
      <c r="AC184" s="50"/>
      <c r="AD184" s="47"/>
      <c r="AE184" s="47"/>
      <c r="AF184" s="47"/>
      <c r="AG184" s="48"/>
      <c r="AH184" s="52"/>
      <c r="AI184" s="47"/>
      <c r="AJ184" s="47"/>
      <c r="AK184" s="47"/>
      <c r="AL184" s="48"/>
      <c r="AM184" s="106">
        <v>1523.28</v>
      </c>
      <c r="AN184" s="47"/>
      <c r="AO184" s="47"/>
      <c r="AP184" s="47"/>
      <c r="AQ184" s="48"/>
      <c r="AR184" s="82">
        <v>1223.29</v>
      </c>
      <c r="AS184" s="47"/>
      <c r="AT184" s="47"/>
      <c r="AU184" s="47"/>
      <c r="AV184" s="48"/>
      <c r="AW184" s="79"/>
      <c r="AX184" s="47"/>
      <c r="AY184" s="47"/>
      <c r="AZ184" s="47"/>
      <c r="BA184" s="48"/>
      <c r="BB184" s="80"/>
      <c r="BC184" s="47"/>
      <c r="BD184" s="47"/>
      <c r="BE184" s="47"/>
      <c r="BF184" s="47"/>
      <c r="BG184" s="81"/>
      <c r="BH184" s="47"/>
      <c r="BI184" s="47"/>
      <c r="BJ184" s="47"/>
      <c r="BK184" s="56"/>
    </row>
    <row r="185" ht="21.0" customHeight="1">
      <c r="A185" s="78"/>
      <c r="B185" s="44" t="s">
        <v>263</v>
      </c>
      <c r="C185" s="44" t="s">
        <v>310</v>
      </c>
      <c r="D185" s="45">
        <v>45138.0</v>
      </c>
      <c r="E185" s="45">
        <v>45141.0</v>
      </c>
      <c r="F185" s="44" t="s">
        <v>50</v>
      </c>
      <c r="G185" s="44" t="s">
        <v>26</v>
      </c>
      <c r="H185" s="44" t="s">
        <v>21</v>
      </c>
      <c r="I185" s="60"/>
      <c r="J185" s="47"/>
      <c r="K185" s="47"/>
      <c r="L185" s="47"/>
      <c r="M185" s="48"/>
      <c r="N185" s="61"/>
      <c r="O185" s="47"/>
      <c r="P185" s="47"/>
      <c r="Q185" s="47"/>
      <c r="R185" s="48"/>
      <c r="S185" s="50"/>
      <c r="T185" s="47"/>
      <c r="U185" s="47"/>
      <c r="V185" s="47"/>
      <c r="W185" s="48"/>
      <c r="X185" s="51"/>
      <c r="Y185" s="47"/>
      <c r="Z185" s="47"/>
      <c r="AA185" s="47"/>
      <c r="AB185" s="48"/>
      <c r="AC185" s="50"/>
      <c r="AD185" s="47"/>
      <c r="AE185" s="47"/>
      <c r="AF185" s="47"/>
      <c r="AG185" s="48"/>
      <c r="AH185" s="52"/>
      <c r="AI185" s="47"/>
      <c r="AJ185" s="47"/>
      <c r="AK185" s="47"/>
      <c r="AL185" s="48"/>
      <c r="AM185" s="106">
        <v>1193.27</v>
      </c>
      <c r="AN185" s="47"/>
      <c r="AO185" s="47"/>
      <c r="AP185" s="47"/>
      <c r="AQ185" s="48"/>
      <c r="AR185" s="82">
        <v>1335.85</v>
      </c>
      <c r="AS185" s="47"/>
      <c r="AT185" s="47"/>
      <c r="AU185" s="47"/>
      <c r="AV185" s="48"/>
      <c r="AW185" s="79"/>
      <c r="AX185" s="47"/>
      <c r="AY185" s="47"/>
      <c r="AZ185" s="47"/>
      <c r="BA185" s="48"/>
      <c r="BB185" s="80"/>
      <c r="BC185" s="47"/>
      <c r="BD185" s="47"/>
      <c r="BE185" s="47"/>
      <c r="BF185" s="47"/>
      <c r="BG185" s="81"/>
      <c r="BH185" s="47"/>
      <c r="BI185" s="47"/>
      <c r="BJ185" s="47"/>
      <c r="BK185" s="56"/>
    </row>
    <row r="186" ht="21.0" customHeight="1">
      <c r="A186" s="78"/>
      <c r="B186" s="44" t="s">
        <v>99</v>
      </c>
      <c r="C186" s="44" t="s">
        <v>283</v>
      </c>
      <c r="D186" s="45">
        <v>45133.0</v>
      </c>
      <c r="E186" s="45">
        <v>45135.0</v>
      </c>
      <c r="F186" s="44" t="s">
        <v>284</v>
      </c>
      <c r="G186" s="44" t="s">
        <v>59</v>
      </c>
      <c r="H186" s="44" t="s">
        <v>27</v>
      </c>
      <c r="I186" s="60"/>
      <c r="J186" s="47"/>
      <c r="K186" s="47"/>
      <c r="L186" s="47"/>
      <c r="M186" s="48"/>
      <c r="N186" s="61"/>
      <c r="O186" s="47"/>
      <c r="P186" s="47"/>
      <c r="Q186" s="47"/>
      <c r="R186" s="48"/>
      <c r="S186" s="50"/>
      <c r="T186" s="47"/>
      <c r="U186" s="47"/>
      <c r="V186" s="47"/>
      <c r="W186" s="48"/>
      <c r="X186" s="51"/>
      <c r="Y186" s="47"/>
      <c r="Z186" s="47"/>
      <c r="AA186" s="47"/>
      <c r="AB186" s="48"/>
      <c r="AC186" s="50"/>
      <c r="AD186" s="47"/>
      <c r="AE186" s="47"/>
      <c r="AF186" s="47"/>
      <c r="AG186" s="48"/>
      <c r="AH186" s="52"/>
      <c r="AI186" s="47"/>
      <c r="AJ186" s="47"/>
      <c r="AK186" s="47"/>
      <c r="AL186" s="48"/>
      <c r="AM186" s="106">
        <v>857.2</v>
      </c>
      <c r="AN186" s="47"/>
      <c r="AO186" s="47"/>
      <c r="AP186" s="47"/>
      <c r="AQ186" s="48"/>
      <c r="AR186" s="82">
        <v>856.73</v>
      </c>
      <c r="AS186" s="47"/>
      <c r="AT186" s="47"/>
      <c r="AU186" s="47"/>
      <c r="AV186" s="48"/>
      <c r="AW186" s="79"/>
      <c r="AX186" s="47"/>
      <c r="AY186" s="47"/>
      <c r="AZ186" s="47"/>
      <c r="BA186" s="48"/>
      <c r="BB186" s="80"/>
      <c r="BC186" s="47"/>
      <c r="BD186" s="47"/>
      <c r="BE186" s="47"/>
      <c r="BF186" s="47"/>
      <c r="BG186" s="81"/>
      <c r="BH186" s="47"/>
      <c r="BI186" s="47"/>
      <c r="BJ186" s="47"/>
      <c r="BK186" s="56"/>
    </row>
    <row r="187" ht="21.0" customHeight="1">
      <c r="A187" s="78"/>
      <c r="B187" s="44" t="s">
        <v>276</v>
      </c>
      <c r="C187" s="44" t="s">
        <v>273</v>
      </c>
      <c r="D187" s="45">
        <v>45138.0</v>
      </c>
      <c r="E187" s="45">
        <v>45141.0</v>
      </c>
      <c r="F187" s="44" t="s">
        <v>274</v>
      </c>
      <c r="G187" s="44" t="s">
        <v>59</v>
      </c>
      <c r="H187" s="44" t="s">
        <v>27</v>
      </c>
      <c r="I187" s="60"/>
      <c r="J187" s="47"/>
      <c r="K187" s="47"/>
      <c r="L187" s="47"/>
      <c r="M187" s="48"/>
      <c r="N187" s="61"/>
      <c r="O187" s="47"/>
      <c r="P187" s="47"/>
      <c r="Q187" s="47"/>
      <c r="R187" s="48"/>
      <c r="S187" s="50"/>
      <c r="T187" s="47"/>
      <c r="U187" s="47"/>
      <c r="V187" s="47"/>
      <c r="W187" s="48"/>
      <c r="X187" s="51"/>
      <c r="Y187" s="47"/>
      <c r="Z187" s="47"/>
      <c r="AA187" s="47"/>
      <c r="AB187" s="48"/>
      <c r="AC187" s="50"/>
      <c r="AD187" s="47"/>
      <c r="AE187" s="47"/>
      <c r="AF187" s="47"/>
      <c r="AG187" s="48"/>
      <c r="AH187" s="52"/>
      <c r="AI187" s="47"/>
      <c r="AJ187" s="47"/>
      <c r="AK187" s="47"/>
      <c r="AL187" s="48"/>
      <c r="AM187" s="106">
        <v>1117.29</v>
      </c>
      <c r="AN187" s="47"/>
      <c r="AO187" s="47"/>
      <c r="AP187" s="47"/>
      <c r="AQ187" s="48"/>
      <c r="AR187" s="82">
        <v>1173.04</v>
      </c>
      <c r="AS187" s="47"/>
      <c r="AT187" s="47"/>
      <c r="AU187" s="47"/>
      <c r="AV187" s="48"/>
      <c r="AW187" s="79"/>
      <c r="AX187" s="47"/>
      <c r="AY187" s="47"/>
      <c r="AZ187" s="47"/>
      <c r="BA187" s="48"/>
      <c r="BB187" s="80"/>
      <c r="BC187" s="47"/>
      <c r="BD187" s="47"/>
      <c r="BE187" s="47"/>
      <c r="BF187" s="47"/>
      <c r="BG187" s="81"/>
      <c r="BH187" s="47"/>
      <c r="BI187" s="47"/>
      <c r="BJ187" s="47"/>
      <c r="BK187" s="56"/>
    </row>
    <row r="188" ht="21.0" customHeight="1">
      <c r="A188" s="78"/>
      <c r="B188" s="44" t="s">
        <v>300</v>
      </c>
      <c r="C188" s="44" t="s">
        <v>145</v>
      </c>
      <c r="D188" s="45">
        <v>45146.0</v>
      </c>
      <c r="E188" s="45">
        <v>45148.0</v>
      </c>
      <c r="F188" s="44" t="s">
        <v>284</v>
      </c>
      <c r="G188" s="44" t="s">
        <v>59</v>
      </c>
      <c r="H188" s="44" t="s">
        <v>27</v>
      </c>
      <c r="I188" s="60"/>
      <c r="J188" s="47"/>
      <c r="K188" s="47"/>
      <c r="L188" s="47"/>
      <c r="M188" s="48"/>
      <c r="N188" s="61"/>
      <c r="O188" s="47"/>
      <c r="P188" s="47"/>
      <c r="Q188" s="47"/>
      <c r="R188" s="48"/>
      <c r="S188" s="50"/>
      <c r="T188" s="47"/>
      <c r="U188" s="47"/>
      <c r="V188" s="47"/>
      <c r="W188" s="48"/>
      <c r="X188" s="51"/>
      <c r="Y188" s="47"/>
      <c r="Z188" s="47"/>
      <c r="AA188" s="47"/>
      <c r="AB188" s="48"/>
      <c r="AC188" s="50"/>
      <c r="AD188" s="47"/>
      <c r="AE188" s="47"/>
      <c r="AF188" s="47"/>
      <c r="AG188" s="48"/>
      <c r="AH188" s="52"/>
      <c r="AI188" s="47"/>
      <c r="AJ188" s="47"/>
      <c r="AK188" s="47"/>
      <c r="AL188" s="48"/>
      <c r="AM188" s="106">
        <v>846.88</v>
      </c>
      <c r="AN188" s="47"/>
      <c r="AO188" s="47"/>
      <c r="AP188" s="47"/>
      <c r="AQ188" s="48"/>
      <c r="AR188" s="82">
        <v>776.88</v>
      </c>
      <c r="AS188" s="47"/>
      <c r="AT188" s="47"/>
      <c r="AU188" s="47"/>
      <c r="AV188" s="48"/>
      <c r="AW188" s="79"/>
      <c r="AX188" s="47"/>
      <c r="AY188" s="47"/>
      <c r="AZ188" s="47"/>
      <c r="BA188" s="48"/>
      <c r="BB188" s="80"/>
      <c r="BC188" s="47"/>
      <c r="BD188" s="47"/>
      <c r="BE188" s="47"/>
      <c r="BF188" s="47"/>
      <c r="BG188" s="81"/>
      <c r="BH188" s="47"/>
      <c r="BI188" s="47"/>
      <c r="BJ188" s="47"/>
      <c r="BK188" s="56"/>
    </row>
    <row r="189" ht="21.0" customHeight="1">
      <c r="A189" s="78"/>
      <c r="B189" s="44" t="s">
        <v>314</v>
      </c>
      <c r="C189" s="44" t="s">
        <v>145</v>
      </c>
      <c r="D189" s="45">
        <v>45145.0</v>
      </c>
      <c r="E189" s="45">
        <v>45149.0</v>
      </c>
      <c r="F189" s="44" t="s">
        <v>284</v>
      </c>
      <c r="G189" s="44" t="s">
        <v>59</v>
      </c>
      <c r="H189" s="44" t="s">
        <v>27</v>
      </c>
      <c r="I189" s="60"/>
      <c r="J189" s="47"/>
      <c r="K189" s="47"/>
      <c r="L189" s="47"/>
      <c r="M189" s="48"/>
      <c r="N189" s="61"/>
      <c r="O189" s="47"/>
      <c r="P189" s="47"/>
      <c r="Q189" s="47"/>
      <c r="R189" s="48"/>
      <c r="S189" s="50"/>
      <c r="T189" s="47"/>
      <c r="U189" s="47"/>
      <c r="V189" s="47"/>
      <c r="W189" s="48"/>
      <c r="X189" s="51"/>
      <c r="Y189" s="47"/>
      <c r="Z189" s="47"/>
      <c r="AA189" s="47"/>
      <c r="AB189" s="48"/>
      <c r="AC189" s="50"/>
      <c r="AD189" s="47"/>
      <c r="AE189" s="47"/>
      <c r="AF189" s="47"/>
      <c r="AG189" s="48"/>
      <c r="AH189" s="52"/>
      <c r="AI189" s="47"/>
      <c r="AJ189" s="47"/>
      <c r="AK189" s="47"/>
      <c r="AL189" s="48"/>
      <c r="AM189" s="106">
        <v>1443.7</v>
      </c>
      <c r="AN189" s="47"/>
      <c r="AO189" s="47"/>
      <c r="AP189" s="47"/>
      <c r="AQ189" s="48"/>
      <c r="AR189" s="82">
        <v>1734.81</v>
      </c>
      <c r="AS189" s="47"/>
      <c r="AT189" s="47"/>
      <c r="AU189" s="47"/>
      <c r="AV189" s="48"/>
      <c r="AW189" s="79"/>
      <c r="AX189" s="47"/>
      <c r="AY189" s="47"/>
      <c r="AZ189" s="47"/>
      <c r="BA189" s="48"/>
      <c r="BB189" s="80"/>
      <c r="BC189" s="47"/>
      <c r="BD189" s="47"/>
      <c r="BE189" s="47"/>
      <c r="BF189" s="47"/>
      <c r="BG189" s="81"/>
      <c r="BH189" s="47"/>
      <c r="BI189" s="47"/>
      <c r="BJ189" s="47"/>
      <c r="BK189" s="56"/>
    </row>
    <row r="190" ht="21.0" customHeight="1">
      <c r="A190" s="78"/>
      <c r="B190" s="44" t="s">
        <v>220</v>
      </c>
      <c r="C190" s="44" t="s">
        <v>283</v>
      </c>
      <c r="D190" s="45">
        <v>45133.0</v>
      </c>
      <c r="E190" s="45">
        <v>45135.0</v>
      </c>
      <c r="F190" s="44" t="s">
        <v>284</v>
      </c>
      <c r="G190" s="44" t="s">
        <v>59</v>
      </c>
      <c r="H190" s="44" t="s">
        <v>27</v>
      </c>
      <c r="I190" s="60"/>
      <c r="J190" s="47"/>
      <c r="K190" s="47"/>
      <c r="L190" s="47"/>
      <c r="M190" s="48"/>
      <c r="N190" s="61"/>
      <c r="O190" s="47"/>
      <c r="P190" s="47"/>
      <c r="Q190" s="47"/>
      <c r="R190" s="48"/>
      <c r="S190" s="50"/>
      <c r="T190" s="47"/>
      <c r="U190" s="47"/>
      <c r="V190" s="47"/>
      <c r="W190" s="48"/>
      <c r="X190" s="51"/>
      <c r="Y190" s="47"/>
      <c r="Z190" s="47"/>
      <c r="AA190" s="47"/>
      <c r="AB190" s="48"/>
      <c r="AC190" s="50"/>
      <c r="AD190" s="47"/>
      <c r="AE190" s="47"/>
      <c r="AF190" s="47"/>
      <c r="AG190" s="48"/>
      <c r="AH190" s="52"/>
      <c r="AI190" s="47"/>
      <c r="AJ190" s="47"/>
      <c r="AK190" s="47"/>
      <c r="AL190" s="48"/>
      <c r="AM190" s="106">
        <v>1010.07</v>
      </c>
      <c r="AN190" s="47"/>
      <c r="AO190" s="47"/>
      <c r="AP190" s="47"/>
      <c r="AQ190" s="48"/>
      <c r="AR190" s="82">
        <v>1169.16</v>
      </c>
      <c r="AS190" s="47"/>
      <c r="AT190" s="47"/>
      <c r="AU190" s="47"/>
      <c r="AV190" s="48"/>
      <c r="AW190" s="79"/>
      <c r="AX190" s="47"/>
      <c r="AY190" s="47"/>
      <c r="AZ190" s="47"/>
      <c r="BA190" s="48"/>
      <c r="BB190" s="80"/>
      <c r="BC190" s="47"/>
      <c r="BD190" s="47"/>
      <c r="BE190" s="47"/>
      <c r="BF190" s="47"/>
      <c r="BG190" s="81"/>
      <c r="BH190" s="47"/>
      <c r="BI190" s="47"/>
      <c r="BJ190" s="47"/>
      <c r="BK190" s="56"/>
    </row>
    <row r="191" ht="21.0" customHeight="1">
      <c r="A191" s="78"/>
      <c r="B191" s="44" t="s">
        <v>185</v>
      </c>
      <c r="C191" s="44" t="s">
        <v>359</v>
      </c>
      <c r="D191" s="45">
        <v>45152.0</v>
      </c>
      <c r="E191" s="45">
        <v>45156.0</v>
      </c>
      <c r="F191" s="44" t="s">
        <v>69</v>
      </c>
      <c r="G191" s="44" t="s">
        <v>64</v>
      </c>
      <c r="H191" s="44" t="s">
        <v>21</v>
      </c>
      <c r="I191" s="60"/>
      <c r="J191" s="47"/>
      <c r="K191" s="47"/>
      <c r="L191" s="47"/>
      <c r="M191" s="48"/>
      <c r="N191" s="61"/>
      <c r="O191" s="47"/>
      <c r="P191" s="47"/>
      <c r="Q191" s="47"/>
      <c r="R191" s="48"/>
      <c r="S191" s="50"/>
      <c r="T191" s="47"/>
      <c r="U191" s="47"/>
      <c r="V191" s="47"/>
      <c r="W191" s="48"/>
      <c r="X191" s="52"/>
      <c r="Y191" s="47"/>
      <c r="Z191" s="47"/>
      <c r="AA191" s="47"/>
      <c r="AB191" s="48"/>
      <c r="AC191" s="50"/>
      <c r="AD191" s="47"/>
      <c r="AE191" s="47"/>
      <c r="AF191" s="47"/>
      <c r="AG191" s="48"/>
      <c r="AH191" s="52"/>
      <c r="AI191" s="47"/>
      <c r="AJ191" s="47"/>
      <c r="AK191" s="47"/>
      <c r="AL191" s="48"/>
      <c r="AM191" s="46">
        <v>1425.78</v>
      </c>
      <c r="AN191" s="47"/>
      <c r="AO191" s="47"/>
      <c r="AP191" s="47"/>
      <c r="AQ191" s="48"/>
      <c r="AR191" s="105">
        <v>1355.78</v>
      </c>
      <c r="AS191" s="47"/>
      <c r="AT191" s="47"/>
      <c r="AU191" s="47"/>
      <c r="AV191" s="48"/>
      <c r="AW191" s="79"/>
      <c r="AX191" s="47"/>
      <c r="AY191" s="47"/>
      <c r="AZ191" s="47"/>
      <c r="BA191" s="48"/>
      <c r="BB191" s="80"/>
      <c r="BC191" s="47"/>
      <c r="BD191" s="47"/>
      <c r="BE191" s="47"/>
      <c r="BF191" s="47"/>
      <c r="BG191" s="81"/>
      <c r="BH191" s="47"/>
      <c r="BI191" s="47"/>
      <c r="BJ191" s="47"/>
      <c r="BK191" s="56"/>
    </row>
    <row r="192" ht="21.0" customHeight="1">
      <c r="A192" s="78"/>
      <c r="B192" s="44" t="s">
        <v>200</v>
      </c>
      <c r="C192" s="44" t="s">
        <v>359</v>
      </c>
      <c r="D192" s="45">
        <v>45152.0</v>
      </c>
      <c r="E192" s="45">
        <v>45156.0</v>
      </c>
      <c r="F192" s="44" t="s">
        <v>69</v>
      </c>
      <c r="G192" s="44" t="s">
        <v>64</v>
      </c>
      <c r="H192" s="44" t="s">
        <v>21</v>
      </c>
      <c r="I192" s="60"/>
      <c r="J192" s="47"/>
      <c r="K192" s="47"/>
      <c r="L192" s="47"/>
      <c r="M192" s="48"/>
      <c r="N192" s="61"/>
      <c r="O192" s="47"/>
      <c r="P192" s="47"/>
      <c r="Q192" s="47"/>
      <c r="R192" s="48"/>
      <c r="S192" s="50"/>
      <c r="T192" s="47"/>
      <c r="U192" s="47"/>
      <c r="V192" s="47"/>
      <c r="W192" s="48"/>
      <c r="X192" s="52"/>
      <c r="Y192" s="47"/>
      <c r="Z192" s="47"/>
      <c r="AA192" s="47"/>
      <c r="AB192" s="48"/>
      <c r="AC192" s="50"/>
      <c r="AD192" s="47"/>
      <c r="AE192" s="47"/>
      <c r="AF192" s="47"/>
      <c r="AG192" s="48"/>
      <c r="AH192" s="52"/>
      <c r="AI192" s="47"/>
      <c r="AJ192" s="47"/>
      <c r="AK192" s="47"/>
      <c r="AL192" s="48"/>
      <c r="AM192" s="46">
        <v>1425.78</v>
      </c>
      <c r="AN192" s="47"/>
      <c r="AO192" s="47"/>
      <c r="AP192" s="47"/>
      <c r="AQ192" s="48"/>
      <c r="AR192" s="105">
        <v>1437.96</v>
      </c>
      <c r="AS192" s="47"/>
      <c r="AT192" s="47"/>
      <c r="AU192" s="47"/>
      <c r="AV192" s="48"/>
      <c r="AW192" s="79"/>
      <c r="AX192" s="47"/>
      <c r="AY192" s="47"/>
      <c r="AZ192" s="47"/>
      <c r="BA192" s="48"/>
      <c r="BB192" s="80"/>
      <c r="BC192" s="47"/>
      <c r="BD192" s="47"/>
      <c r="BE192" s="47"/>
      <c r="BF192" s="47"/>
      <c r="BG192" s="81"/>
      <c r="BH192" s="47"/>
      <c r="BI192" s="47"/>
      <c r="BJ192" s="47"/>
      <c r="BK192" s="56"/>
    </row>
    <row r="193" ht="21.0" customHeight="1">
      <c r="A193" s="78"/>
      <c r="B193" s="44" t="s">
        <v>121</v>
      </c>
      <c r="C193" s="44" t="s">
        <v>359</v>
      </c>
      <c r="D193" s="45">
        <v>45152.0</v>
      </c>
      <c r="E193" s="45">
        <v>45156.0</v>
      </c>
      <c r="F193" s="44" t="s">
        <v>69</v>
      </c>
      <c r="G193" s="44" t="s">
        <v>64</v>
      </c>
      <c r="H193" s="44" t="s">
        <v>21</v>
      </c>
      <c r="I193" s="60"/>
      <c r="J193" s="47"/>
      <c r="K193" s="47"/>
      <c r="L193" s="47"/>
      <c r="M193" s="48"/>
      <c r="N193" s="61"/>
      <c r="O193" s="47"/>
      <c r="P193" s="47"/>
      <c r="Q193" s="47"/>
      <c r="R193" s="48"/>
      <c r="S193" s="50"/>
      <c r="T193" s="47"/>
      <c r="U193" s="47"/>
      <c r="V193" s="47"/>
      <c r="W193" s="48"/>
      <c r="X193" s="52"/>
      <c r="Y193" s="47"/>
      <c r="Z193" s="47"/>
      <c r="AA193" s="47"/>
      <c r="AB193" s="48"/>
      <c r="AC193" s="50"/>
      <c r="AD193" s="47"/>
      <c r="AE193" s="47"/>
      <c r="AF193" s="47"/>
      <c r="AG193" s="48"/>
      <c r="AH193" s="52"/>
      <c r="AI193" s="47"/>
      <c r="AJ193" s="47"/>
      <c r="AK193" s="47"/>
      <c r="AL193" s="48"/>
      <c r="AM193" s="46">
        <v>1477.8</v>
      </c>
      <c r="AN193" s="47"/>
      <c r="AO193" s="47"/>
      <c r="AP193" s="47"/>
      <c r="AQ193" s="48"/>
      <c r="AR193" s="105">
        <v>1510.14</v>
      </c>
      <c r="AS193" s="47"/>
      <c r="AT193" s="47"/>
      <c r="AU193" s="47"/>
      <c r="AV193" s="48"/>
      <c r="AW193" s="79"/>
      <c r="AX193" s="47"/>
      <c r="AY193" s="47"/>
      <c r="AZ193" s="47"/>
      <c r="BA193" s="48"/>
      <c r="BB193" s="80"/>
      <c r="BC193" s="47"/>
      <c r="BD193" s="47"/>
      <c r="BE193" s="47"/>
      <c r="BF193" s="47"/>
      <c r="BG193" s="81"/>
      <c r="BH193" s="47"/>
      <c r="BI193" s="47"/>
      <c r="BJ193" s="47"/>
      <c r="BK193" s="56"/>
    </row>
    <row r="194" ht="21.0" customHeight="1">
      <c r="A194" s="78"/>
      <c r="B194" s="44" t="s">
        <v>358</v>
      </c>
      <c r="C194" s="44" t="s">
        <v>359</v>
      </c>
      <c r="D194" s="45">
        <v>45152.0</v>
      </c>
      <c r="E194" s="45">
        <v>45156.0</v>
      </c>
      <c r="F194" s="44" t="s">
        <v>69</v>
      </c>
      <c r="G194" s="44" t="s">
        <v>64</v>
      </c>
      <c r="H194" s="44" t="s">
        <v>21</v>
      </c>
      <c r="I194" s="50"/>
      <c r="J194" s="47"/>
      <c r="K194" s="47"/>
      <c r="L194" s="47"/>
      <c r="M194" s="48"/>
      <c r="N194" s="52"/>
      <c r="O194" s="47"/>
      <c r="P194" s="47"/>
      <c r="Q194" s="47"/>
      <c r="R194" s="48"/>
      <c r="S194" s="50"/>
      <c r="T194" s="47"/>
      <c r="U194" s="47"/>
      <c r="V194" s="47"/>
      <c r="W194" s="48"/>
      <c r="X194" s="51"/>
      <c r="Y194" s="47"/>
      <c r="Z194" s="47"/>
      <c r="AA194" s="47"/>
      <c r="AB194" s="48"/>
      <c r="AC194" s="50"/>
      <c r="AD194" s="47"/>
      <c r="AE194" s="47"/>
      <c r="AF194" s="47"/>
      <c r="AG194" s="48"/>
      <c r="AH194" s="51"/>
      <c r="AI194" s="47"/>
      <c r="AJ194" s="47"/>
      <c r="AK194" s="47"/>
      <c r="AL194" s="48"/>
      <c r="AM194" s="46">
        <v>1767.67</v>
      </c>
      <c r="AN194" s="47"/>
      <c r="AO194" s="47"/>
      <c r="AP194" s="47"/>
      <c r="AQ194" s="48"/>
      <c r="AR194" s="105">
        <v>1599.97</v>
      </c>
      <c r="AS194" s="47"/>
      <c r="AT194" s="47"/>
      <c r="AU194" s="47"/>
      <c r="AV194" s="48"/>
      <c r="AW194" s="79"/>
      <c r="AX194" s="47"/>
      <c r="AY194" s="47"/>
      <c r="AZ194" s="47"/>
      <c r="BA194" s="48"/>
      <c r="BB194" s="80"/>
      <c r="BC194" s="47"/>
      <c r="BD194" s="47"/>
      <c r="BE194" s="47"/>
      <c r="BF194" s="47"/>
      <c r="BG194" s="81"/>
      <c r="BH194" s="47"/>
      <c r="BI194" s="47"/>
      <c r="BJ194" s="47"/>
      <c r="BK194" s="56"/>
    </row>
    <row r="195" ht="21.0" customHeight="1">
      <c r="A195" s="78"/>
      <c r="B195" s="44" t="s">
        <v>360</v>
      </c>
      <c r="C195" s="44" t="s">
        <v>359</v>
      </c>
      <c r="D195" s="45">
        <v>45152.0</v>
      </c>
      <c r="E195" s="45">
        <v>45156.0</v>
      </c>
      <c r="F195" s="44" t="s">
        <v>69</v>
      </c>
      <c r="G195" s="44" t="s">
        <v>64</v>
      </c>
      <c r="H195" s="44" t="s">
        <v>21</v>
      </c>
      <c r="I195" s="50"/>
      <c r="J195" s="47"/>
      <c r="K195" s="47"/>
      <c r="L195" s="47"/>
      <c r="M195" s="48"/>
      <c r="N195" s="52"/>
      <c r="O195" s="47"/>
      <c r="P195" s="47"/>
      <c r="Q195" s="47"/>
      <c r="R195" s="48"/>
      <c r="S195" s="50"/>
      <c r="T195" s="47"/>
      <c r="U195" s="47"/>
      <c r="V195" s="47"/>
      <c r="W195" s="48"/>
      <c r="X195" s="51"/>
      <c r="Y195" s="47"/>
      <c r="Z195" s="47"/>
      <c r="AA195" s="47"/>
      <c r="AB195" s="48"/>
      <c r="AC195" s="50"/>
      <c r="AD195" s="47"/>
      <c r="AE195" s="47"/>
      <c r="AF195" s="47"/>
      <c r="AG195" s="48"/>
      <c r="AH195" s="51"/>
      <c r="AI195" s="47"/>
      <c r="AJ195" s="47"/>
      <c r="AK195" s="47"/>
      <c r="AL195" s="48"/>
      <c r="AM195" s="46">
        <v>1543.78</v>
      </c>
      <c r="AN195" s="47"/>
      <c r="AO195" s="47"/>
      <c r="AP195" s="47"/>
      <c r="AQ195" s="48"/>
      <c r="AR195" s="105">
        <v>1515.43</v>
      </c>
      <c r="AS195" s="47"/>
      <c r="AT195" s="47"/>
      <c r="AU195" s="47"/>
      <c r="AV195" s="48"/>
      <c r="AW195" s="79"/>
      <c r="AX195" s="47"/>
      <c r="AY195" s="47"/>
      <c r="AZ195" s="47"/>
      <c r="BA195" s="48"/>
      <c r="BB195" s="80"/>
      <c r="BC195" s="47"/>
      <c r="BD195" s="47"/>
      <c r="BE195" s="47"/>
      <c r="BF195" s="47"/>
      <c r="BG195" s="81"/>
      <c r="BH195" s="47"/>
      <c r="BI195" s="47"/>
      <c r="BJ195" s="47"/>
      <c r="BK195" s="56"/>
    </row>
    <row r="196" ht="21.0" customHeight="1">
      <c r="A196" s="78"/>
      <c r="B196" s="44" t="s">
        <v>363</v>
      </c>
      <c r="C196" s="44" t="s">
        <v>359</v>
      </c>
      <c r="D196" s="45">
        <v>45152.0</v>
      </c>
      <c r="E196" s="45">
        <v>45156.0</v>
      </c>
      <c r="F196" s="44" t="s">
        <v>69</v>
      </c>
      <c r="G196" s="44" t="s">
        <v>64</v>
      </c>
      <c r="H196" s="44" t="s">
        <v>21</v>
      </c>
      <c r="I196" s="50"/>
      <c r="J196" s="47"/>
      <c r="K196" s="47"/>
      <c r="L196" s="47"/>
      <c r="M196" s="48"/>
      <c r="N196" s="52"/>
      <c r="O196" s="47"/>
      <c r="P196" s="47"/>
      <c r="Q196" s="47"/>
      <c r="R196" s="48"/>
      <c r="S196" s="50"/>
      <c r="T196" s="47"/>
      <c r="U196" s="47"/>
      <c r="V196" s="47"/>
      <c r="W196" s="48"/>
      <c r="X196" s="51"/>
      <c r="Y196" s="47"/>
      <c r="Z196" s="47"/>
      <c r="AA196" s="47"/>
      <c r="AB196" s="48"/>
      <c r="AC196" s="50"/>
      <c r="AD196" s="47"/>
      <c r="AE196" s="47"/>
      <c r="AF196" s="47"/>
      <c r="AG196" s="48"/>
      <c r="AH196" s="51"/>
      <c r="AI196" s="47"/>
      <c r="AJ196" s="47"/>
      <c r="AK196" s="47"/>
      <c r="AL196" s="48"/>
      <c r="AM196" s="46">
        <v>1505.78</v>
      </c>
      <c r="AN196" s="47"/>
      <c r="AO196" s="47"/>
      <c r="AP196" s="47"/>
      <c r="AQ196" s="48"/>
      <c r="AR196" s="105">
        <v>1488.55</v>
      </c>
      <c r="AS196" s="47"/>
      <c r="AT196" s="47"/>
      <c r="AU196" s="47"/>
      <c r="AV196" s="48"/>
      <c r="AW196" s="79"/>
      <c r="AX196" s="47"/>
      <c r="AY196" s="47"/>
      <c r="AZ196" s="47"/>
      <c r="BA196" s="48"/>
      <c r="BB196" s="80"/>
      <c r="BC196" s="47"/>
      <c r="BD196" s="47"/>
      <c r="BE196" s="47"/>
      <c r="BF196" s="47"/>
      <c r="BG196" s="81"/>
      <c r="BH196" s="47"/>
      <c r="BI196" s="47"/>
      <c r="BJ196" s="47"/>
      <c r="BK196" s="56"/>
    </row>
    <row r="197" ht="21.0" customHeight="1">
      <c r="A197" s="78"/>
      <c r="B197" s="44" t="s">
        <v>267</v>
      </c>
      <c r="C197" s="44" t="s">
        <v>359</v>
      </c>
      <c r="D197" s="45">
        <v>45152.0</v>
      </c>
      <c r="E197" s="45">
        <v>45156.0</v>
      </c>
      <c r="F197" s="44" t="s">
        <v>69</v>
      </c>
      <c r="G197" s="44" t="s">
        <v>64</v>
      </c>
      <c r="H197" s="44" t="s">
        <v>21</v>
      </c>
      <c r="I197" s="50"/>
      <c r="J197" s="47"/>
      <c r="K197" s="47"/>
      <c r="L197" s="47"/>
      <c r="M197" s="48"/>
      <c r="N197" s="52"/>
      <c r="O197" s="47"/>
      <c r="P197" s="47"/>
      <c r="Q197" s="47"/>
      <c r="R197" s="48"/>
      <c r="S197" s="50"/>
      <c r="T197" s="47"/>
      <c r="U197" s="47"/>
      <c r="V197" s="47"/>
      <c r="W197" s="48"/>
      <c r="X197" s="51"/>
      <c r="Y197" s="47"/>
      <c r="Z197" s="47"/>
      <c r="AA197" s="47"/>
      <c r="AB197" s="48"/>
      <c r="AC197" s="50"/>
      <c r="AD197" s="47"/>
      <c r="AE197" s="47"/>
      <c r="AF197" s="47"/>
      <c r="AG197" s="48"/>
      <c r="AH197" s="51"/>
      <c r="AI197" s="47"/>
      <c r="AJ197" s="47"/>
      <c r="AK197" s="47"/>
      <c r="AL197" s="48"/>
      <c r="AM197" s="46">
        <v>1480.77</v>
      </c>
      <c r="AN197" s="47"/>
      <c r="AO197" s="47"/>
      <c r="AP197" s="47"/>
      <c r="AQ197" s="48"/>
      <c r="AR197" s="105">
        <v>1493.33</v>
      </c>
      <c r="AS197" s="47"/>
      <c r="AT197" s="47"/>
      <c r="AU197" s="47"/>
      <c r="AV197" s="48"/>
      <c r="AW197" s="79"/>
      <c r="AX197" s="47"/>
      <c r="AY197" s="47"/>
      <c r="AZ197" s="47"/>
      <c r="BA197" s="48"/>
      <c r="BB197" s="80"/>
      <c r="BC197" s="47"/>
      <c r="BD197" s="47"/>
      <c r="BE197" s="47"/>
      <c r="BF197" s="47"/>
      <c r="BG197" s="81"/>
      <c r="BH197" s="47"/>
      <c r="BI197" s="47"/>
      <c r="BJ197" s="47"/>
      <c r="BK197" s="56"/>
    </row>
    <row r="198" ht="21.0" customHeight="1">
      <c r="A198" s="78"/>
      <c r="B198" s="44" t="s">
        <v>364</v>
      </c>
      <c r="C198" s="44" t="s">
        <v>359</v>
      </c>
      <c r="D198" s="45">
        <v>45152.0</v>
      </c>
      <c r="E198" s="45">
        <v>45156.0</v>
      </c>
      <c r="F198" s="44" t="s">
        <v>69</v>
      </c>
      <c r="G198" s="44" t="s">
        <v>64</v>
      </c>
      <c r="H198" s="44" t="s">
        <v>21</v>
      </c>
      <c r="I198" s="50"/>
      <c r="J198" s="47"/>
      <c r="K198" s="47"/>
      <c r="L198" s="47"/>
      <c r="M198" s="48"/>
      <c r="N198" s="52"/>
      <c r="O198" s="47"/>
      <c r="P198" s="47"/>
      <c r="Q198" s="47"/>
      <c r="R198" s="48"/>
      <c r="S198" s="50"/>
      <c r="T198" s="47"/>
      <c r="U198" s="47"/>
      <c r="V198" s="47"/>
      <c r="W198" s="48"/>
      <c r="X198" s="51"/>
      <c r="Y198" s="47"/>
      <c r="Z198" s="47"/>
      <c r="AA198" s="47"/>
      <c r="AB198" s="48"/>
      <c r="AC198" s="50"/>
      <c r="AD198" s="47"/>
      <c r="AE198" s="47"/>
      <c r="AF198" s="47"/>
      <c r="AG198" s="48"/>
      <c r="AH198" s="51"/>
      <c r="AI198" s="47"/>
      <c r="AJ198" s="47"/>
      <c r="AK198" s="47"/>
      <c r="AL198" s="48"/>
      <c r="AM198" s="46">
        <v>1487.53</v>
      </c>
      <c r="AN198" s="47"/>
      <c r="AO198" s="47"/>
      <c r="AP198" s="47"/>
      <c r="AQ198" s="48"/>
      <c r="AR198" s="105">
        <v>1318.78</v>
      </c>
      <c r="AS198" s="47"/>
      <c r="AT198" s="47"/>
      <c r="AU198" s="47"/>
      <c r="AV198" s="48"/>
      <c r="AW198" s="79"/>
      <c r="AX198" s="47"/>
      <c r="AY198" s="47"/>
      <c r="AZ198" s="47"/>
      <c r="BA198" s="48"/>
      <c r="BB198" s="80"/>
      <c r="BC198" s="47"/>
      <c r="BD198" s="47"/>
      <c r="BE198" s="47"/>
      <c r="BF198" s="47"/>
      <c r="BG198" s="81"/>
      <c r="BH198" s="47"/>
      <c r="BI198" s="47"/>
      <c r="BJ198" s="47"/>
      <c r="BK198" s="56"/>
    </row>
    <row r="199" ht="21.0" customHeight="1">
      <c r="A199" s="43"/>
      <c r="B199" s="44" t="s">
        <v>237</v>
      </c>
      <c r="C199" s="44" t="s">
        <v>359</v>
      </c>
      <c r="D199" s="45">
        <v>45152.0</v>
      </c>
      <c r="E199" s="45">
        <v>45156.0</v>
      </c>
      <c r="F199" s="44" t="s">
        <v>69</v>
      </c>
      <c r="G199" s="44" t="s">
        <v>64</v>
      </c>
      <c r="H199" s="44" t="s">
        <v>21</v>
      </c>
      <c r="I199" s="50"/>
      <c r="J199" s="47"/>
      <c r="K199" s="47"/>
      <c r="L199" s="47"/>
      <c r="M199" s="48"/>
      <c r="N199" s="52"/>
      <c r="O199" s="47"/>
      <c r="P199" s="47"/>
      <c r="Q199" s="47"/>
      <c r="R199" s="48"/>
      <c r="S199" s="50"/>
      <c r="T199" s="47"/>
      <c r="U199" s="47"/>
      <c r="V199" s="47"/>
      <c r="W199" s="48"/>
      <c r="X199" s="51"/>
      <c r="Y199" s="47"/>
      <c r="Z199" s="47"/>
      <c r="AA199" s="47"/>
      <c r="AB199" s="48"/>
      <c r="AC199" s="50"/>
      <c r="AD199" s="47"/>
      <c r="AE199" s="47"/>
      <c r="AF199" s="47"/>
      <c r="AG199" s="48"/>
      <c r="AH199" s="51"/>
      <c r="AI199" s="47"/>
      <c r="AJ199" s="47"/>
      <c r="AK199" s="47"/>
      <c r="AL199" s="48"/>
      <c r="AM199" s="46">
        <v>1445.0</v>
      </c>
      <c r="AN199" s="47"/>
      <c r="AO199" s="47"/>
      <c r="AP199" s="47"/>
      <c r="AQ199" s="48"/>
      <c r="AR199" s="105">
        <v>1345.0</v>
      </c>
      <c r="AS199" s="47"/>
      <c r="AT199" s="47"/>
      <c r="AU199" s="47"/>
      <c r="AV199" s="48"/>
      <c r="AW199" s="239"/>
      <c r="AX199" s="47"/>
      <c r="AY199" s="47"/>
      <c r="AZ199" s="47"/>
      <c r="BA199" s="48"/>
      <c r="BB199" s="80"/>
      <c r="BC199" s="47"/>
      <c r="BD199" s="47"/>
      <c r="BE199" s="47"/>
      <c r="BF199" s="47"/>
      <c r="BG199" s="81"/>
      <c r="BH199" s="47"/>
      <c r="BI199" s="47"/>
      <c r="BJ199" s="47"/>
      <c r="BK199" s="56"/>
    </row>
    <row r="200" ht="21.0" customHeight="1">
      <c r="A200" s="78"/>
      <c r="B200" s="44" t="s">
        <v>226</v>
      </c>
      <c r="C200" s="44" t="s">
        <v>359</v>
      </c>
      <c r="D200" s="45">
        <v>45152.0</v>
      </c>
      <c r="E200" s="45">
        <v>45156.0</v>
      </c>
      <c r="F200" s="44" t="s">
        <v>69</v>
      </c>
      <c r="G200" s="44" t="s">
        <v>64</v>
      </c>
      <c r="H200" s="44" t="s">
        <v>21</v>
      </c>
      <c r="I200" s="50"/>
      <c r="J200" s="47"/>
      <c r="K200" s="47"/>
      <c r="L200" s="47"/>
      <c r="M200" s="48"/>
      <c r="N200" s="52"/>
      <c r="O200" s="47"/>
      <c r="P200" s="47"/>
      <c r="Q200" s="47"/>
      <c r="R200" s="48"/>
      <c r="S200" s="50"/>
      <c r="T200" s="47"/>
      <c r="U200" s="47"/>
      <c r="V200" s="47"/>
      <c r="W200" s="48"/>
      <c r="X200" s="51"/>
      <c r="Y200" s="47"/>
      <c r="Z200" s="47"/>
      <c r="AA200" s="47"/>
      <c r="AB200" s="48"/>
      <c r="AC200" s="50"/>
      <c r="AD200" s="47"/>
      <c r="AE200" s="47"/>
      <c r="AF200" s="47"/>
      <c r="AG200" s="48"/>
      <c r="AH200" s="51"/>
      <c r="AI200" s="47"/>
      <c r="AJ200" s="47"/>
      <c r="AK200" s="47"/>
      <c r="AL200" s="48"/>
      <c r="AM200" s="46">
        <v>1453.08</v>
      </c>
      <c r="AN200" s="47"/>
      <c r="AO200" s="47"/>
      <c r="AP200" s="47"/>
      <c r="AQ200" s="48"/>
      <c r="AR200" s="105">
        <v>1338.08</v>
      </c>
      <c r="AS200" s="47"/>
      <c r="AT200" s="47"/>
      <c r="AU200" s="47"/>
      <c r="AV200" s="48"/>
      <c r="AW200" s="239"/>
      <c r="AX200" s="47"/>
      <c r="AY200" s="47"/>
      <c r="AZ200" s="47"/>
      <c r="BA200" s="48"/>
      <c r="BB200" s="80"/>
      <c r="BC200" s="47"/>
      <c r="BD200" s="47"/>
      <c r="BE200" s="47"/>
      <c r="BF200" s="47"/>
      <c r="BG200" s="81"/>
      <c r="BH200" s="47"/>
      <c r="BI200" s="47"/>
      <c r="BJ200" s="47"/>
      <c r="BK200" s="56"/>
    </row>
    <row r="201" ht="21.0" customHeight="1">
      <c r="A201" s="78"/>
      <c r="B201" s="44" t="s">
        <v>232</v>
      </c>
      <c r="C201" s="44" t="s">
        <v>359</v>
      </c>
      <c r="D201" s="45">
        <v>45152.0</v>
      </c>
      <c r="E201" s="45">
        <v>45156.0</v>
      </c>
      <c r="F201" s="44" t="s">
        <v>69</v>
      </c>
      <c r="G201" s="44" t="s">
        <v>64</v>
      </c>
      <c r="H201" s="44" t="s">
        <v>21</v>
      </c>
      <c r="I201" s="50"/>
      <c r="J201" s="47"/>
      <c r="K201" s="47"/>
      <c r="L201" s="47"/>
      <c r="M201" s="48"/>
      <c r="N201" s="52"/>
      <c r="O201" s="47"/>
      <c r="P201" s="47"/>
      <c r="Q201" s="47"/>
      <c r="R201" s="48"/>
      <c r="S201" s="50"/>
      <c r="T201" s="47"/>
      <c r="U201" s="47"/>
      <c r="V201" s="47"/>
      <c r="W201" s="48"/>
      <c r="X201" s="51"/>
      <c r="Y201" s="47"/>
      <c r="Z201" s="47"/>
      <c r="AA201" s="47"/>
      <c r="AB201" s="48"/>
      <c r="AC201" s="50"/>
      <c r="AD201" s="47"/>
      <c r="AE201" s="47"/>
      <c r="AF201" s="47"/>
      <c r="AG201" s="48"/>
      <c r="AH201" s="51"/>
      <c r="AI201" s="47"/>
      <c r="AJ201" s="47"/>
      <c r="AK201" s="47"/>
      <c r="AL201" s="48"/>
      <c r="AM201" s="46">
        <v>1533.78</v>
      </c>
      <c r="AN201" s="47"/>
      <c r="AO201" s="47"/>
      <c r="AP201" s="47"/>
      <c r="AQ201" s="48"/>
      <c r="AR201" s="105">
        <v>1460.78</v>
      </c>
      <c r="AS201" s="47"/>
      <c r="AT201" s="47"/>
      <c r="AU201" s="47"/>
      <c r="AV201" s="48"/>
      <c r="AW201" s="79"/>
      <c r="AX201" s="47"/>
      <c r="AY201" s="47"/>
      <c r="AZ201" s="47"/>
      <c r="BA201" s="48"/>
      <c r="BB201" s="80"/>
      <c r="BC201" s="47"/>
      <c r="BD201" s="47"/>
      <c r="BE201" s="47"/>
      <c r="BF201" s="47"/>
      <c r="BG201" s="81"/>
      <c r="BH201" s="47"/>
      <c r="BI201" s="47"/>
      <c r="BJ201" s="47"/>
      <c r="BK201" s="56"/>
    </row>
    <row r="202" ht="21.0" customHeight="1">
      <c r="A202" s="78"/>
      <c r="B202" s="44" t="s">
        <v>17</v>
      </c>
      <c r="C202" s="44" t="s">
        <v>68</v>
      </c>
      <c r="D202" s="45">
        <v>45152.0</v>
      </c>
      <c r="E202" s="45">
        <v>45154.0</v>
      </c>
      <c r="F202" s="44" t="s">
        <v>69</v>
      </c>
      <c r="G202" s="44" t="s">
        <v>26</v>
      </c>
      <c r="H202" s="44" t="s">
        <v>21</v>
      </c>
      <c r="I202" s="60"/>
      <c r="J202" s="47"/>
      <c r="K202" s="47"/>
      <c r="L202" s="47"/>
      <c r="M202" s="48"/>
      <c r="N202" s="61"/>
      <c r="O202" s="47"/>
      <c r="P202" s="47"/>
      <c r="Q202" s="47"/>
      <c r="R202" s="48"/>
      <c r="S202" s="50"/>
      <c r="T202" s="47"/>
      <c r="U202" s="47"/>
      <c r="V202" s="47"/>
      <c r="W202" s="48"/>
      <c r="X202" s="51"/>
      <c r="Y202" s="47"/>
      <c r="Z202" s="47"/>
      <c r="AA202" s="47"/>
      <c r="AB202" s="48"/>
      <c r="AC202" s="50"/>
      <c r="AD202" s="47"/>
      <c r="AE202" s="47"/>
      <c r="AF202" s="47"/>
      <c r="AG202" s="48"/>
      <c r="AH202" s="51"/>
      <c r="AI202" s="47"/>
      <c r="AJ202" s="47"/>
      <c r="AK202" s="47"/>
      <c r="AL202" s="48"/>
      <c r="AM202" s="46">
        <v>1245.25</v>
      </c>
      <c r="AN202" s="47"/>
      <c r="AO202" s="47"/>
      <c r="AP202" s="47"/>
      <c r="AQ202" s="48"/>
      <c r="AR202" s="49">
        <v>1324.47</v>
      </c>
      <c r="AS202" s="47"/>
      <c r="AT202" s="47"/>
      <c r="AU202" s="47"/>
      <c r="AV202" s="48"/>
      <c r="AW202" s="79"/>
      <c r="AX202" s="47"/>
      <c r="AY202" s="47"/>
      <c r="AZ202" s="47"/>
      <c r="BA202" s="48"/>
      <c r="BB202" s="80"/>
      <c r="BC202" s="47"/>
      <c r="BD202" s="47"/>
      <c r="BE202" s="47"/>
      <c r="BF202" s="47"/>
      <c r="BG202" s="81"/>
      <c r="BH202" s="47"/>
      <c r="BI202" s="47"/>
      <c r="BJ202" s="47"/>
      <c r="BK202" s="56"/>
    </row>
    <row r="203" ht="21.0" customHeight="1">
      <c r="A203" s="78"/>
      <c r="B203" s="44" t="s">
        <v>17</v>
      </c>
      <c r="C203" s="44" t="s">
        <v>72</v>
      </c>
      <c r="D203" s="45">
        <v>45159.0</v>
      </c>
      <c r="E203" s="45">
        <v>45163.0</v>
      </c>
      <c r="F203" s="44" t="s">
        <v>73</v>
      </c>
      <c r="G203" s="44" t="s">
        <v>26</v>
      </c>
      <c r="H203" s="44" t="s">
        <v>21</v>
      </c>
      <c r="I203" s="60"/>
      <c r="J203" s="47"/>
      <c r="K203" s="47"/>
      <c r="L203" s="47"/>
      <c r="M203" s="48"/>
      <c r="N203" s="61"/>
      <c r="O203" s="47"/>
      <c r="P203" s="47"/>
      <c r="Q203" s="47"/>
      <c r="R203" s="48"/>
      <c r="S203" s="50"/>
      <c r="T203" s="47"/>
      <c r="U203" s="47"/>
      <c r="V203" s="47"/>
      <c r="W203" s="48"/>
      <c r="X203" s="51"/>
      <c r="Y203" s="47"/>
      <c r="Z203" s="47"/>
      <c r="AA203" s="47"/>
      <c r="AB203" s="48"/>
      <c r="AC203" s="50"/>
      <c r="AD203" s="47"/>
      <c r="AE203" s="47"/>
      <c r="AF203" s="47"/>
      <c r="AG203" s="48"/>
      <c r="AH203" s="51"/>
      <c r="AI203" s="47"/>
      <c r="AJ203" s="47"/>
      <c r="AK203" s="47"/>
      <c r="AL203" s="48"/>
      <c r="AM203" s="46">
        <v>1289.27</v>
      </c>
      <c r="AN203" s="47"/>
      <c r="AO203" s="47"/>
      <c r="AP203" s="47"/>
      <c r="AQ203" s="48"/>
      <c r="AR203" s="49">
        <v>1225.26</v>
      </c>
      <c r="AS203" s="47"/>
      <c r="AT203" s="47"/>
      <c r="AU203" s="47"/>
      <c r="AV203" s="48"/>
      <c r="AW203" s="79"/>
      <c r="AX203" s="47"/>
      <c r="AY203" s="47"/>
      <c r="AZ203" s="47"/>
      <c r="BA203" s="48"/>
      <c r="BB203" s="80"/>
      <c r="BC203" s="47"/>
      <c r="BD203" s="47"/>
      <c r="BE203" s="47"/>
      <c r="BF203" s="47"/>
      <c r="BG203" s="81"/>
      <c r="BH203" s="47"/>
      <c r="BI203" s="47"/>
      <c r="BJ203" s="47"/>
      <c r="BK203" s="56"/>
    </row>
    <row r="204" ht="21.0" customHeight="1">
      <c r="A204" s="78"/>
      <c r="B204" s="44" t="s">
        <v>211</v>
      </c>
      <c r="C204" s="44" t="s">
        <v>359</v>
      </c>
      <c r="D204" s="45">
        <v>45152.0</v>
      </c>
      <c r="E204" s="45">
        <v>45156.0</v>
      </c>
      <c r="F204" s="44" t="s">
        <v>69</v>
      </c>
      <c r="G204" s="44" t="s">
        <v>64</v>
      </c>
      <c r="H204" s="44" t="s">
        <v>21</v>
      </c>
      <c r="I204" s="60"/>
      <c r="J204" s="47"/>
      <c r="K204" s="47"/>
      <c r="L204" s="47"/>
      <c r="M204" s="48"/>
      <c r="N204" s="61"/>
      <c r="O204" s="47"/>
      <c r="P204" s="47"/>
      <c r="Q204" s="47"/>
      <c r="R204" s="48"/>
      <c r="S204" s="50"/>
      <c r="T204" s="47"/>
      <c r="U204" s="47"/>
      <c r="V204" s="47"/>
      <c r="W204" s="48"/>
      <c r="X204" s="52"/>
      <c r="Y204" s="47"/>
      <c r="Z204" s="47"/>
      <c r="AA204" s="47"/>
      <c r="AB204" s="48"/>
      <c r="AC204" s="50"/>
      <c r="AD204" s="47"/>
      <c r="AE204" s="47"/>
      <c r="AF204" s="47"/>
      <c r="AG204" s="48"/>
      <c r="AH204" s="52"/>
      <c r="AI204" s="47"/>
      <c r="AJ204" s="47"/>
      <c r="AK204" s="47"/>
      <c r="AL204" s="48"/>
      <c r="AM204" s="46">
        <v>1767.25</v>
      </c>
      <c r="AN204" s="47"/>
      <c r="AO204" s="47"/>
      <c r="AP204" s="47"/>
      <c r="AQ204" s="48"/>
      <c r="AR204" s="105">
        <v>1595.21</v>
      </c>
      <c r="AS204" s="47"/>
      <c r="AT204" s="47"/>
      <c r="AU204" s="47"/>
      <c r="AV204" s="48"/>
      <c r="AW204" s="79"/>
      <c r="AX204" s="47"/>
      <c r="AY204" s="47"/>
      <c r="AZ204" s="47"/>
      <c r="BA204" s="48"/>
      <c r="BB204" s="80"/>
      <c r="BC204" s="47"/>
      <c r="BD204" s="47"/>
      <c r="BE204" s="47"/>
      <c r="BF204" s="47"/>
      <c r="BG204" s="81"/>
      <c r="BH204" s="47"/>
      <c r="BI204" s="47"/>
      <c r="BJ204" s="47"/>
      <c r="BK204" s="56"/>
    </row>
    <row r="205" ht="21.0" customHeight="1">
      <c r="A205" s="78"/>
      <c r="B205" s="44" t="s">
        <v>128</v>
      </c>
      <c r="C205" s="44" t="s">
        <v>359</v>
      </c>
      <c r="D205" s="45">
        <v>45152.0</v>
      </c>
      <c r="E205" s="45">
        <v>45156.0</v>
      </c>
      <c r="F205" s="44" t="s">
        <v>69</v>
      </c>
      <c r="G205" s="44" t="s">
        <v>64</v>
      </c>
      <c r="H205" s="44" t="s">
        <v>21</v>
      </c>
      <c r="I205" s="50"/>
      <c r="J205" s="47"/>
      <c r="K205" s="47"/>
      <c r="L205" s="47"/>
      <c r="M205" s="48"/>
      <c r="N205" s="52"/>
      <c r="O205" s="47"/>
      <c r="P205" s="47"/>
      <c r="Q205" s="47"/>
      <c r="R205" s="48"/>
      <c r="S205" s="50"/>
      <c r="T205" s="47"/>
      <c r="U205" s="47"/>
      <c r="V205" s="47"/>
      <c r="W205" s="48"/>
      <c r="X205" s="51"/>
      <c r="Y205" s="47"/>
      <c r="Z205" s="47"/>
      <c r="AA205" s="47"/>
      <c r="AB205" s="48"/>
      <c r="AC205" s="50"/>
      <c r="AD205" s="47"/>
      <c r="AE205" s="47"/>
      <c r="AF205" s="47"/>
      <c r="AG205" s="48"/>
      <c r="AH205" s="51"/>
      <c r="AI205" s="47"/>
      <c r="AJ205" s="47"/>
      <c r="AK205" s="47"/>
      <c r="AL205" s="48"/>
      <c r="AM205" s="46">
        <v>1502.48</v>
      </c>
      <c r="AN205" s="47"/>
      <c r="AO205" s="47"/>
      <c r="AP205" s="47"/>
      <c r="AQ205" s="48"/>
      <c r="AR205" s="105">
        <v>1518.22</v>
      </c>
      <c r="AS205" s="47"/>
      <c r="AT205" s="47"/>
      <c r="AU205" s="47"/>
      <c r="AV205" s="48"/>
      <c r="AW205" s="79"/>
      <c r="AX205" s="47"/>
      <c r="AY205" s="47"/>
      <c r="AZ205" s="47"/>
      <c r="BA205" s="48"/>
      <c r="BB205" s="80"/>
      <c r="BC205" s="47"/>
      <c r="BD205" s="47"/>
      <c r="BE205" s="47"/>
      <c r="BF205" s="47"/>
      <c r="BG205" s="81"/>
      <c r="BH205" s="47"/>
      <c r="BI205" s="47"/>
      <c r="BJ205" s="47"/>
      <c r="BK205" s="56"/>
    </row>
    <row r="206" ht="21.0" customHeight="1">
      <c r="A206" s="78"/>
      <c r="B206" s="44" t="s">
        <v>407</v>
      </c>
      <c r="C206" s="44" t="s">
        <v>359</v>
      </c>
      <c r="D206" s="45">
        <v>45152.0</v>
      </c>
      <c r="E206" s="45">
        <v>45156.0</v>
      </c>
      <c r="F206" s="44" t="s">
        <v>69</v>
      </c>
      <c r="G206" s="44" t="s">
        <v>64</v>
      </c>
      <c r="H206" s="44" t="s">
        <v>21</v>
      </c>
      <c r="I206" s="60"/>
      <c r="J206" s="47"/>
      <c r="K206" s="47"/>
      <c r="L206" s="47"/>
      <c r="M206" s="48"/>
      <c r="N206" s="61"/>
      <c r="O206" s="47"/>
      <c r="P206" s="47"/>
      <c r="Q206" s="47"/>
      <c r="R206" s="48"/>
      <c r="S206" s="50"/>
      <c r="T206" s="47"/>
      <c r="U206" s="47"/>
      <c r="V206" s="47"/>
      <c r="W206" s="48"/>
      <c r="X206" s="52"/>
      <c r="Y206" s="47"/>
      <c r="Z206" s="47"/>
      <c r="AA206" s="47"/>
      <c r="AB206" s="48"/>
      <c r="AC206" s="50"/>
      <c r="AD206" s="47"/>
      <c r="AE206" s="47"/>
      <c r="AF206" s="47"/>
      <c r="AG206" s="48"/>
      <c r="AH206" s="52"/>
      <c r="AI206" s="47"/>
      <c r="AJ206" s="47"/>
      <c r="AK206" s="47"/>
      <c r="AL206" s="48"/>
      <c r="AM206" s="46">
        <v>1477.34</v>
      </c>
      <c r="AN206" s="47"/>
      <c r="AO206" s="47"/>
      <c r="AP206" s="47"/>
      <c r="AQ206" s="48"/>
      <c r="AR206" s="105">
        <v>1398.33</v>
      </c>
      <c r="AS206" s="47"/>
      <c r="AT206" s="47"/>
      <c r="AU206" s="47"/>
      <c r="AV206" s="48"/>
      <c r="AW206" s="79"/>
      <c r="AX206" s="47"/>
      <c r="AY206" s="47"/>
      <c r="AZ206" s="47"/>
      <c r="BA206" s="48"/>
      <c r="BB206" s="80"/>
      <c r="BC206" s="47"/>
      <c r="BD206" s="47"/>
      <c r="BE206" s="47"/>
      <c r="BF206" s="47"/>
      <c r="BG206" s="81"/>
      <c r="BH206" s="47"/>
      <c r="BI206" s="47"/>
      <c r="BJ206" s="47"/>
      <c r="BK206" s="56"/>
    </row>
    <row r="207" ht="21.0" customHeight="1">
      <c r="A207" s="78"/>
      <c r="B207" s="44" t="s">
        <v>315</v>
      </c>
      <c r="C207" s="44" t="s">
        <v>359</v>
      </c>
      <c r="D207" s="45">
        <v>45152.0</v>
      </c>
      <c r="E207" s="45">
        <v>45156.0</v>
      </c>
      <c r="F207" s="44" t="s">
        <v>69</v>
      </c>
      <c r="G207" s="44" t="s">
        <v>64</v>
      </c>
      <c r="H207" s="44" t="s">
        <v>21</v>
      </c>
      <c r="I207" s="60"/>
      <c r="J207" s="47"/>
      <c r="K207" s="47"/>
      <c r="L207" s="47"/>
      <c r="M207" s="48"/>
      <c r="N207" s="61"/>
      <c r="O207" s="47"/>
      <c r="P207" s="47"/>
      <c r="Q207" s="47"/>
      <c r="R207" s="48"/>
      <c r="S207" s="50"/>
      <c r="T207" s="47"/>
      <c r="U207" s="47"/>
      <c r="V207" s="47"/>
      <c r="W207" s="48"/>
      <c r="X207" s="52"/>
      <c r="Y207" s="47"/>
      <c r="Z207" s="47"/>
      <c r="AA207" s="47"/>
      <c r="AB207" s="48"/>
      <c r="AC207" s="50"/>
      <c r="AD207" s="47"/>
      <c r="AE207" s="47"/>
      <c r="AF207" s="47"/>
      <c r="AG207" s="48"/>
      <c r="AH207" s="52"/>
      <c r="AI207" s="47"/>
      <c r="AJ207" s="47"/>
      <c r="AK207" s="47"/>
      <c r="AL207" s="48"/>
      <c r="AM207" s="46">
        <v>1685.77</v>
      </c>
      <c r="AN207" s="47"/>
      <c r="AO207" s="47"/>
      <c r="AP207" s="47"/>
      <c r="AQ207" s="48"/>
      <c r="AR207" s="105">
        <v>1481.74</v>
      </c>
      <c r="AS207" s="47"/>
      <c r="AT207" s="47"/>
      <c r="AU207" s="47"/>
      <c r="AV207" s="48"/>
      <c r="AW207" s="79"/>
      <c r="AX207" s="47"/>
      <c r="AY207" s="47"/>
      <c r="AZ207" s="47"/>
      <c r="BA207" s="48"/>
      <c r="BB207" s="80"/>
      <c r="BC207" s="47"/>
      <c r="BD207" s="47"/>
      <c r="BE207" s="47"/>
      <c r="BF207" s="47"/>
      <c r="BG207" s="81"/>
      <c r="BH207" s="47"/>
      <c r="BI207" s="47"/>
      <c r="BJ207" s="47"/>
      <c r="BK207" s="56"/>
    </row>
    <row r="208" ht="21.0" customHeight="1">
      <c r="A208" s="78"/>
      <c r="B208" s="44" t="s">
        <v>408</v>
      </c>
      <c r="C208" s="44" t="s">
        <v>359</v>
      </c>
      <c r="D208" s="45">
        <v>45152.0</v>
      </c>
      <c r="E208" s="45">
        <v>45156.0</v>
      </c>
      <c r="F208" s="44" t="s">
        <v>69</v>
      </c>
      <c r="G208" s="44" t="s">
        <v>64</v>
      </c>
      <c r="H208" s="44" t="s">
        <v>21</v>
      </c>
      <c r="I208" s="60"/>
      <c r="J208" s="47"/>
      <c r="K208" s="47"/>
      <c r="L208" s="47"/>
      <c r="M208" s="48"/>
      <c r="N208" s="61"/>
      <c r="O208" s="47"/>
      <c r="P208" s="47"/>
      <c r="Q208" s="47"/>
      <c r="R208" s="48"/>
      <c r="S208" s="50"/>
      <c r="T208" s="47"/>
      <c r="U208" s="47"/>
      <c r="V208" s="47"/>
      <c r="W208" s="48"/>
      <c r="X208" s="52"/>
      <c r="Y208" s="47"/>
      <c r="Z208" s="47"/>
      <c r="AA208" s="47"/>
      <c r="AB208" s="48"/>
      <c r="AC208" s="50"/>
      <c r="AD208" s="47"/>
      <c r="AE208" s="47"/>
      <c r="AF208" s="47"/>
      <c r="AG208" s="48"/>
      <c r="AH208" s="52"/>
      <c r="AI208" s="47"/>
      <c r="AJ208" s="47"/>
      <c r="AK208" s="47"/>
      <c r="AL208" s="48"/>
      <c r="AM208" s="46">
        <v>1422.48</v>
      </c>
      <c r="AN208" s="47"/>
      <c r="AO208" s="47"/>
      <c r="AP208" s="47"/>
      <c r="AQ208" s="48"/>
      <c r="AR208" s="105">
        <v>1385.26</v>
      </c>
      <c r="AS208" s="47"/>
      <c r="AT208" s="47"/>
      <c r="AU208" s="47"/>
      <c r="AV208" s="48"/>
      <c r="AW208" s="79"/>
      <c r="AX208" s="47"/>
      <c r="AY208" s="47"/>
      <c r="AZ208" s="47"/>
      <c r="BA208" s="48"/>
      <c r="BB208" s="80"/>
      <c r="BC208" s="47"/>
      <c r="BD208" s="47"/>
      <c r="BE208" s="47"/>
      <c r="BF208" s="47"/>
      <c r="BG208" s="81"/>
      <c r="BH208" s="47"/>
      <c r="BI208" s="47"/>
      <c r="BJ208" s="47"/>
      <c r="BK208" s="56"/>
    </row>
    <row r="209" ht="21.0" customHeight="1">
      <c r="A209" s="78"/>
      <c r="B209" s="44" t="s">
        <v>51</v>
      </c>
      <c r="C209" s="44" t="s">
        <v>76</v>
      </c>
      <c r="D209" s="102">
        <v>45144.0</v>
      </c>
      <c r="E209" s="45">
        <v>45148.0</v>
      </c>
      <c r="F209" s="44" t="s">
        <v>207</v>
      </c>
      <c r="G209" s="44" t="s">
        <v>26</v>
      </c>
      <c r="H209" s="44" t="s">
        <v>21</v>
      </c>
      <c r="I209" s="60"/>
      <c r="J209" s="47"/>
      <c r="K209" s="47"/>
      <c r="L209" s="47"/>
      <c r="M209" s="48"/>
      <c r="N209" s="61"/>
      <c r="O209" s="47"/>
      <c r="P209" s="47"/>
      <c r="Q209" s="47"/>
      <c r="R209" s="47"/>
      <c r="S209" s="50"/>
      <c r="T209" s="47"/>
      <c r="U209" s="47"/>
      <c r="V209" s="47"/>
      <c r="W209" s="48"/>
      <c r="X209" s="61"/>
      <c r="Y209" s="47"/>
      <c r="Z209" s="47"/>
      <c r="AA209" s="47"/>
      <c r="AB209" s="48"/>
      <c r="AC209" s="50"/>
      <c r="AD209" s="47"/>
      <c r="AE209" s="47"/>
      <c r="AF209" s="47"/>
      <c r="AG209" s="48"/>
      <c r="AH209" s="51"/>
      <c r="AI209" s="47"/>
      <c r="AJ209" s="47"/>
      <c r="AK209" s="47"/>
      <c r="AL209" s="48"/>
      <c r="AM209" s="46">
        <v>1909.44</v>
      </c>
      <c r="AN209" s="47"/>
      <c r="AO209" s="47"/>
      <c r="AP209" s="47"/>
      <c r="AQ209" s="48"/>
      <c r="AR209" s="69">
        <v>2470.76</v>
      </c>
      <c r="AS209" s="47"/>
      <c r="AT209" s="47"/>
      <c r="AU209" s="47"/>
      <c r="AV209" s="48"/>
      <c r="AW209" s="79"/>
      <c r="AX209" s="47"/>
      <c r="AY209" s="47"/>
      <c r="AZ209" s="47"/>
      <c r="BA209" s="48"/>
      <c r="BB209" s="80"/>
      <c r="BC209" s="47"/>
      <c r="BD209" s="47"/>
      <c r="BE209" s="47"/>
      <c r="BF209" s="47"/>
      <c r="BG209" s="81"/>
      <c r="BH209" s="47"/>
      <c r="BI209" s="47"/>
      <c r="BJ209" s="47"/>
      <c r="BK209" s="56"/>
    </row>
    <row r="210" ht="21.0" customHeight="1">
      <c r="A210" s="78"/>
      <c r="B210" s="119" t="s">
        <v>156</v>
      </c>
      <c r="C210" s="119" t="s">
        <v>295</v>
      </c>
      <c r="D210" s="120">
        <v>45146.0</v>
      </c>
      <c r="E210" s="120">
        <v>45148.0</v>
      </c>
      <c r="F210" s="119" t="s">
        <v>164</v>
      </c>
      <c r="G210" s="119" t="s">
        <v>59</v>
      </c>
      <c r="H210" s="121" t="s">
        <v>27</v>
      </c>
      <c r="I210" s="60"/>
      <c r="J210" s="47"/>
      <c r="K210" s="47"/>
      <c r="L210" s="47"/>
      <c r="M210" s="48"/>
      <c r="N210" s="61"/>
      <c r="O210" s="47"/>
      <c r="P210" s="47"/>
      <c r="Q210" s="47"/>
      <c r="R210" s="48"/>
      <c r="S210" s="50"/>
      <c r="T210" s="47"/>
      <c r="U210" s="47"/>
      <c r="V210" s="47"/>
      <c r="W210" s="48"/>
      <c r="X210" s="52"/>
      <c r="Y210" s="47"/>
      <c r="Z210" s="47"/>
      <c r="AA210" s="47"/>
      <c r="AB210" s="48"/>
      <c r="AC210" s="50"/>
      <c r="AD210" s="47"/>
      <c r="AE210" s="47"/>
      <c r="AF210" s="47"/>
      <c r="AG210" s="48"/>
      <c r="AH210" s="52"/>
      <c r="AI210" s="47"/>
      <c r="AJ210" s="47"/>
      <c r="AK210" s="47"/>
      <c r="AL210" s="48"/>
      <c r="AM210" s="46">
        <v>436.12</v>
      </c>
      <c r="AN210" s="47"/>
      <c r="AO210" s="47"/>
      <c r="AP210" s="47"/>
      <c r="AQ210" s="48"/>
      <c r="AR210" s="69">
        <v>422.62</v>
      </c>
      <c r="AS210" s="47"/>
      <c r="AT210" s="47"/>
      <c r="AU210" s="47"/>
      <c r="AV210" s="48"/>
      <c r="AW210" s="79"/>
      <c r="AX210" s="47"/>
      <c r="AY210" s="47"/>
      <c r="AZ210" s="47"/>
      <c r="BA210" s="48"/>
      <c r="BB210" s="80"/>
      <c r="BC210" s="47"/>
      <c r="BD210" s="47"/>
      <c r="BE210" s="47"/>
      <c r="BF210" s="47"/>
      <c r="BG210" s="81"/>
      <c r="BH210" s="47"/>
      <c r="BI210" s="47"/>
      <c r="BJ210" s="47"/>
      <c r="BK210" s="56"/>
    </row>
    <row r="211" ht="21.0" customHeight="1">
      <c r="A211" s="78"/>
      <c r="B211" s="44" t="s">
        <v>220</v>
      </c>
      <c r="C211" s="44" t="s">
        <v>273</v>
      </c>
      <c r="D211" s="45">
        <v>45138.0</v>
      </c>
      <c r="E211" s="45">
        <v>45141.0</v>
      </c>
      <c r="F211" s="44" t="s">
        <v>274</v>
      </c>
      <c r="G211" s="44" t="s">
        <v>59</v>
      </c>
      <c r="H211" s="44" t="s">
        <v>27</v>
      </c>
      <c r="I211" s="60"/>
      <c r="J211" s="47"/>
      <c r="K211" s="47"/>
      <c r="L211" s="47"/>
      <c r="M211" s="48"/>
      <c r="N211" s="61"/>
      <c r="O211" s="47"/>
      <c r="P211" s="47"/>
      <c r="Q211" s="47"/>
      <c r="R211" s="48"/>
      <c r="S211" s="50"/>
      <c r="T211" s="47"/>
      <c r="U211" s="47"/>
      <c r="V211" s="47"/>
      <c r="W211" s="48"/>
      <c r="X211" s="51"/>
      <c r="Y211" s="47"/>
      <c r="Z211" s="47"/>
      <c r="AA211" s="47"/>
      <c r="AB211" s="48"/>
      <c r="AC211" s="50"/>
      <c r="AD211" s="47"/>
      <c r="AE211" s="47"/>
      <c r="AF211" s="47"/>
      <c r="AG211" s="48"/>
      <c r="AH211" s="52"/>
      <c r="AI211" s="47"/>
      <c r="AJ211" s="47"/>
      <c r="AK211" s="47"/>
      <c r="AL211" s="48"/>
      <c r="AM211" s="106">
        <v>1660.08</v>
      </c>
      <c r="AN211" s="47"/>
      <c r="AO211" s="47"/>
      <c r="AP211" s="47"/>
      <c r="AQ211" s="48"/>
      <c r="AR211" s="82">
        <v>1741.52</v>
      </c>
      <c r="AS211" s="47"/>
      <c r="AT211" s="47"/>
      <c r="AU211" s="47"/>
      <c r="AV211" s="48"/>
      <c r="AW211" s="79"/>
      <c r="AX211" s="47"/>
      <c r="AY211" s="47"/>
      <c r="AZ211" s="47"/>
      <c r="BA211" s="48"/>
      <c r="BB211" s="80"/>
      <c r="BC211" s="47"/>
      <c r="BD211" s="47"/>
      <c r="BE211" s="47"/>
      <c r="BF211" s="47"/>
      <c r="BG211" s="81"/>
      <c r="BH211" s="47"/>
      <c r="BI211" s="47"/>
      <c r="BJ211" s="47"/>
      <c r="BK211" s="56"/>
    </row>
    <row r="212" ht="21.0" customHeight="1">
      <c r="A212" s="78"/>
      <c r="B212" s="44" t="s">
        <v>51</v>
      </c>
      <c r="C212" s="44" t="s">
        <v>77</v>
      </c>
      <c r="D212" s="45">
        <v>45122.0</v>
      </c>
      <c r="E212" s="45">
        <v>45136.0</v>
      </c>
      <c r="F212" s="44" t="s">
        <v>47</v>
      </c>
      <c r="G212" s="44" t="s">
        <v>59</v>
      </c>
      <c r="H212" s="57" t="s">
        <v>49</v>
      </c>
      <c r="I212" s="50"/>
      <c r="J212" s="47"/>
      <c r="K212" s="47"/>
      <c r="L212" s="47"/>
      <c r="M212" s="48"/>
      <c r="N212" s="61"/>
      <c r="O212" s="47"/>
      <c r="P212" s="47"/>
      <c r="Q212" s="47"/>
      <c r="R212" s="48"/>
      <c r="S212" s="50"/>
      <c r="T212" s="47"/>
      <c r="U212" s="47"/>
      <c r="V212" s="47"/>
      <c r="W212" s="48"/>
      <c r="X212" s="51"/>
      <c r="Y212" s="47"/>
      <c r="Z212" s="47"/>
      <c r="AA212" s="47"/>
      <c r="AB212" s="48"/>
      <c r="AC212" s="50"/>
      <c r="AD212" s="47"/>
      <c r="AE212" s="47"/>
      <c r="AF212" s="47"/>
      <c r="AG212" s="48"/>
      <c r="AH212" s="51"/>
      <c r="AI212" s="47"/>
      <c r="AJ212" s="47"/>
      <c r="AK212" s="47"/>
      <c r="AL212" s="48"/>
      <c r="AM212" s="46">
        <v>7216.31</v>
      </c>
      <c r="AN212" s="47"/>
      <c r="AO212" s="47"/>
      <c r="AP212" s="47"/>
      <c r="AQ212" s="48"/>
      <c r="AR212" s="69">
        <v>7897.78</v>
      </c>
      <c r="AS212" s="47"/>
      <c r="AT212" s="47"/>
      <c r="AU212" s="47"/>
      <c r="AV212" s="48"/>
      <c r="AW212" s="79"/>
      <c r="AX212" s="47"/>
      <c r="AY212" s="47"/>
      <c r="AZ212" s="47"/>
      <c r="BA212" s="48"/>
      <c r="BB212" s="80"/>
      <c r="BC212" s="47"/>
      <c r="BD212" s="47"/>
      <c r="BE212" s="47"/>
      <c r="BF212" s="47"/>
      <c r="BG212" s="81"/>
      <c r="BH212" s="47"/>
      <c r="BI212" s="47"/>
      <c r="BJ212" s="47"/>
      <c r="BK212" s="56"/>
    </row>
    <row r="213" ht="21.0" customHeight="1">
      <c r="A213" s="78"/>
      <c r="B213" s="44" t="s">
        <v>200</v>
      </c>
      <c r="C213" s="44" t="s">
        <v>410</v>
      </c>
      <c r="D213" s="45">
        <v>45159.0</v>
      </c>
      <c r="E213" s="45">
        <v>45162.0</v>
      </c>
      <c r="F213" s="44" t="s">
        <v>411</v>
      </c>
      <c r="G213" s="44" t="s">
        <v>187</v>
      </c>
      <c r="H213" s="44" t="s">
        <v>27</v>
      </c>
      <c r="I213" s="60"/>
      <c r="J213" s="47"/>
      <c r="K213" s="47"/>
      <c r="L213" s="47"/>
      <c r="M213" s="48"/>
      <c r="N213" s="61"/>
      <c r="O213" s="47"/>
      <c r="P213" s="47"/>
      <c r="Q213" s="47"/>
      <c r="R213" s="48"/>
      <c r="S213" s="50"/>
      <c r="T213" s="47"/>
      <c r="U213" s="47"/>
      <c r="V213" s="47"/>
      <c r="W213" s="48"/>
      <c r="X213" s="52"/>
      <c r="Y213" s="47"/>
      <c r="Z213" s="47"/>
      <c r="AA213" s="47"/>
      <c r="AB213" s="48"/>
      <c r="AC213" s="50"/>
      <c r="AD213" s="47"/>
      <c r="AE213" s="47"/>
      <c r="AF213" s="47"/>
      <c r="AG213" s="48"/>
      <c r="AH213" s="52"/>
      <c r="AI213" s="47"/>
      <c r="AJ213" s="47"/>
      <c r="AK213" s="47"/>
      <c r="AL213" s="48"/>
      <c r="AM213" s="46">
        <v>1141.88</v>
      </c>
      <c r="AN213" s="47"/>
      <c r="AO213" s="47"/>
      <c r="AP213" s="47"/>
      <c r="AQ213" s="48"/>
      <c r="AR213" s="105">
        <v>1139.48</v>
      </c>
      <c r="AS213" s="47"/>
      <c r="AT213" s="47"/>
      <c r="AU213" s="47"/>
      <c r="AV213" s="48"/>
      <c r="AW213" s="79"/>
      <c r="AX213" s="47"/>
      <c r="AY213" s="47"/>
      <c r="AZ213" s="47"/>
      <c r="BA213" s="48"/>
      <c r="BB213" s="80"/>
      <c r="BC213" s="47"/>
      <c r="BD213" s="47"/>
      <c r="BE213" s="47"/>
      <c r="BF213" s="47"/>
      <c r="BG213" s="81"/>
      <c r="BH213" s="47"/>
      <c r="BI213" s="47"/>
      <c r="BJ213" s="47"/>
      <c r="BK213" s="56"/>
    </row>
    <row r="214" ht="21.0" customHeight="1">
      <c r="A214" s="43"/>
      <c r="B214" s="44" t="s">
        <v>376</v>
      </c>
      <c r="C214" s="44" t="s">
        <v>362</v>
      </c>
      <c r="D214" s="45">
        <v>45152.0</v>
      </c>
      <c r="E214" s="45">
        <v>45156.0</v>
      </c>
      <c r="F214" s="44" t="s">
        <v>69</v>
      </c>
      <c r="G214" s="44" t="s">
        <v>64</v>
      </c>
      <c r="H214" s="44" t="s">
        <v>21</v>
      </c>
      <c r="I214" s="50"/>
      <c r="J214" s="47"/>
      <c r="K214" s="47"/>
      <c r="L214" s="47"/>
      <c r="M214" s="48"/>
      <c r="N214" s="52"/>
      <c r="O214" s="47"/>
      <c r="P214" s="47"/>
      <c r="Q214" s="47"/>
      <c r="R214" s="48"/>
      <c r="S214" s="50"/>
      <c r="T214" s="47"/>
      <c r="U214" s="47"/>
      <c r="V214" s="47"/>
      <c r="W214" s="48"/>
      <c r="X214" s="51"/>
      <c r="Y214" s="47"/>
      <c r="Z214" s="47"/>
      <c r="AA214" s="47"/>
      <c r="AB214" s="48"/>
      <c r="AC214" s="50"/>
      <c r="AD214" s="47"/>
      <c r="AE214" s="47"/>
      <c r="AF214" s="47"/>
      <c r="AG214" s="48"/>
      <c r="AH214" s="51"/>
      <c r="AI214" s="47"/>
      <c r="AJ214" s="47"/>
      <c r="AK214" s="47"/>
      <c r="AL214" s="48"/>
      <c r="AM214" s="46">
        <v>1278.56</v>
      </c>
      <c r="AN214" s="47"/>
      <c r="AO214" s="47"/>
      <c r="AP214" s="47"/>
      <c r="AQ214" s="48"/>
      <c r="AR214" s="105" t="s">
        <v>56</v>
      </c>
      <c r="AS214" s="47"/>
      <c r="AT214" s="47"/>
      <c r="AU214" s="47"/>
      <c r="AV214" s="48"/>
      <c r="AW214" s="53"/>
      <c r="AX214" s="47"/>
      <c r="AY214" s="47"/>
      <c r="AZ214" s="47"/>
      <c r="BA214" s="48"/>
      <c r="BB214" s="54"/>
      <c r="BC214" s="47"/>
      <c r="BD214" s="47"/>
      <c r="BE214" s="47"/>
      <c r="BF214" s="48"/>
      <c r="BG214" s="55"/>
      <c r="BH214" s="47"/>
      <c r="BI214" s="47"/>
      <c r="BJ214" s="47"/>
      <c r="BK214" s="56"/>
    </row>
    <row r="215" ht="21.0" customHeight="1">
      <c r="A215" s="78"/>
      <c r="B215" s="44" t="s">
        <v>370</v>
      </c>
      <c r="C215" s="44" t="s">
        <v>359</v>
      </c>
      <c r="D215" s="45">
        <v>45152.0</v>
      </c>
      <c r="E215" s="45">
        <v>45156.0</v>
      </c>
      <c r="F215" s="44" t="s">
        <v>69</v>
      </c>
      <c r="G215" s="44" t="s">
        <v>64</v>
      </c>
      <c r="H215" s="44" t="s">
        <v>21</v>
      </c>
      <c r="I215" s="50"/>
      <c r="J215" s="47"/>
      <c r="K215" s="47"/>
      <c r="L215" s="47"/>
      <c r="M215" s="48"/>
      <c r="N215" s="52"/>
      <c r="O215" s="47"/>
      <c r="P215" s="47"/>
      <c r="Q215" s="47"/>
      <c r="R215" s="48"/>
      <c r="S215" s="50"/>
      <c r="T215" s="47"/>
      <c r="U215" s="47"/>
      <c r="V215" s="47"/>
      <c r="W215" s="48"/>
      <c r="X215" s="51"/>
      <c r="Y215" s="47"/>
      <c r="Z215" s="47"/>
      <c r="AA215" s="47"/>
      <c r="AB215" s="48"/>
      <c r="AC215" s="50"/>
      <c r="AD215" s="47"/>
      <c r="AE215" s="47"/>
      <c r="AF215" s="47"/>
      <c r="AG215" s="48"/>
      <c r="AH215" s="51"/>
      <c r="AI215" s="47"/>
      <c r="AJ215" s="47"/>
      <c r="AK215" s="47"/>
      <c r="AL215" s="48"/>
      <c r="AM215" s="46">
        <v>1435.77</v>
      </c>
      <c r="AN215" s="47"/>
      <c r="AO215" s="47"/>
      <c r="AP215" s="47"/>
      <c r="AQ215" s="48"/>
      <c r="AR215" s="105">
        <v>1494.98</v>
      </c>
      <c r="AS215" s="47"/>
      <c r="AT215" s="47"/>
      <c r="AU215" s="47"/>
      <c r="AV215" s="48"/>
      <c r="AW215" s="240"/>
      <c r="AX215" s="240"/>
      <c r="AY215" s="240"/>
      <c r="AZ215" s="240"/>
      <c r="BA215" s="240"/>
      <c r="BB215" s="80"/>
      <c r="BC215" s="80"/>
      <c r="BD215" s="80"/>
      <c r="BE215" s="80"/>
      <c r="BF215" s="80"/>
      <c r="BG215" s="241"/>
      <c r="BH215" s="241"/>
      <c r="BI215" s="241"/>
      <c r="BJ215" s="241"/>
      <c r="BK215" s="241"/>
    </row>
    <row r="216" ht="21.0" customHeight="1">
      <c r="A216" s="78"/>
      <c r="B216" s="44" t="s">
        <v>352</v>
      </c>
      <c r="C216" s="44" t="s">
        <v>359</v>
      </c>
      <c r="D216" s="45">
        <v>45152.0</v>
      </c>
      <c r="E216" s="45">
        <v>45156.0</v>
      </c>
      <c r="F216" s="44" t="s">
        <v>69</v>
      </c>
      <c r="G216" s="44" t="s">
        <v>64</v>
      </c>
      <c r="H216" s="44" t="s">
        <v>21</v>
      </c>
      <c r="I216" s="50"/>
      <c r="J216" s="47"/>
      <c r="K216" s="47"/>
      <c r="L216" s="47"/>
      <c r="M216" s="48"/>
      <c r="N216" s="52"/>
      <c r="O216" s="47"/>
      <c r="P216" s="47"/>
      <c r="Q216" s="47"/>
      <c r="R216" s="48"/>
      <c r="S216" s="50"/>
      <c r="T216" s="47"/>
      <c r="U216" s="47"/>
      <c r="V216" s="47"/>
      <c r="W216" s="48"/>
      <c r="X216" s="51"/>
      <c r="Y216" s="47"/>
      <c r="Z216" s="47"/>
      <c r="AA216" s="47"/>
      <c r="AB216" s="48"/>
      <c r="AC216" s="50"/>
      <c r="AD216" s="47"/>
      <c r="AE216" s="47"/>
      <c r="AF216" s="47"/>
      <c r="AG216" s="48"/>
      <c r="AH216" s="51"/>
      <c r="AI216" s="47"/>
      <c r="AJ216" s="47"/>
      <c r="AK216" s="47"/>
      <c r="AL216" s="48"/>
      <c r="AM216" s="46">
        <v>1443.21</v>
      </c>
      <c r="AN216" s="47"/>
      <c r="AO216" s="47"/>
      <c r="AP216" s="47"/>
      <c r="AQ216" s="48"/>
      <c r="AR216" s="105">
        <v>1487.52</v>
      </c>
      <c r="AS216" s="47"/>
      <c r="AT216" s="47"/>
      <c r="AU216" s="47"/>
      <c r="AV216" s="48"/>
      <c r="AW216" s="79"/>
      <c r="AX216" s="47"/>
      <c r="AY216" s="47"/>
      <c r="AZ216" s="47"/>
      <c r="BA216" s="48"/>
      <c r="BB216" s="80"/>
      <c r="BC216" s="47"/>
      <c r="BD216" s="47"/>
      <c r="BE216" s="47"/>
      <c r="BF216" s="47"/>
      <c r="BG216" s="81"/>
      <c r="BH216" s="47"/>
      <c r="BI216" s="47"/>
      <c r="BJ216" s="47"/>
      <c r="BK216" s="56"/>
    </row>
    <row r="217" ht="21.0" customHeight="1">
      <c r="A217" s="78"/>
      <c r="B217" s="44" t="s">
        <v>125</v>
      </c>
      <c r="C217" s="44" t="s">
        <v>359</v>
      </c>
      <c r="D217" s="45">
        <v>45152.0</v>
      </c>
      <c r="E217" s="45">
        <v>45156.0</v>
      </c>
      <c r="F217" s="44" t="s">
        <v>69</v>
      </c>
      <c r="G217" s="44" t="s">
        <v>64</v>
      </c>
      <c r="H217" s="44" t="s">
        <v>21</v>
      </c>
      <c r="I217" s="60"/>
      <c r="J217" s="47"/>
      <c r="K217" s="47"/>
      <c r="L217" s="47"/>
      <c r="M217" s="48"/>
      <c r="N217" s="61"/>
      <c r="O217" s="47"/>
      <c r="P217" s="47"/>
      <c r="Q217" s="47"/>
      <c r="R217" s="48"/>
      <c r="S217" s="50"/>
      <c r="T217" s="47"/>
      <c r="U217" s="47"/>
      <c r="V217" s="47"/>
      <c r="W217" s="48"/>
      <c r="X217" s="52"/>
      <c r="Y217" s="47"/>
      <c r="Z217" s="47"/>
      <c r="AA217" s="47"/>
      <c r="AB217" s="48"/>
      <c r="AC217" s="50"/>
      <c r="AD217" s="47"/>
      <c r="AE217" s="47"/>
      <c r="AF217" s="47"/>
      <c r="AG217" s="48"/>
      <c r="AH217" s="52"/>
      <c r="AI217" s="47"/>
      <c r="AJ217" s="47"/>
      <c r="AK217" s="47"/>
      <c r="AL217" s="48"/>
      <c r="AM217" s="46">
        <v>1433.78</v>
      </c>
      <c r="AN217" s="47"/>
      <c r="AO217" s="47"/>
      <c r="AP217" s="47"/>
      <c r="AQ217" s="48"/>
      <c r="AR217" s="105">
        <v>1542.85</v>
      </c>
      <c r="AS217" s="47"/>
      <c r="AT217" s="47"/>
      <c r="AU217" s="47"/>
      <c r="AV217" s="48"/>
      <c r="AW217" s="79"/>
      <c r="AX217" s="47"/>
      <c r="AY217" s="47"/>
      <c r="AZ217" s="47"/>
      <c r="BA217" s="48"/>
      <c r="BB217" s="80"/>
      <c r="BC217" s="47"/>
      <c r="BD217" s="47"/>
      <c r="BE217" s="47"/>
      <c r="BF217" s="47"/>
      <c r="BG217" s="81"/>
      <c r="BH217" s="47"/>
      <c r="BI217" s="47"/>
      <c r="BJ217" s="47"/>
      <c r="BK217" s="56"/>
    </row>
    <row r="218" ht="21.0" customHeight="1">
      <c r="A218" s="78"/>
      <c r="B218" s="44" t="s">
        <v>138</v>
      </c>
      <c r="C218" s="44" t="s">
        <v>246</v>
      </c>
      <c r="D218" s="45">
        <v>45161.0</v>
      </c>
      <c r="E218" s="45">
        <v>45163.0</v>
      </c>
      <c r="F218" s="44" t="s">
        <v>247</v>
      </c>
      <c r="G218" s="44" t="s">
        <v>59</v>
      </c>
      <c r="H218" s="44" t="s">
        <v>27</v>
      </c>
      <c r="I218" s="132"/>
      <c r="J218" s="47"/>
      <c r="K218" s="47"/>
      <c r="L218" s="47"/>
      <c r="M218" s="48"/>
      <c r="N218" s="61"/>
      <c r="O218" s="47"/>
      <c r="P218" s="47"/>
      <c r="Q218" s="47"/>
      <c r="R218" s="48"/>
      <c r="S218" s="50"/>
      <c r="T218" s="47"/>
      <c r="U218" s="47"/>
      <c r="V218" s="47"/>
      <c r="W218" s="48"/>
      <c r="X218" s="52"/>
      <c r="Y218" s="47"/>
      <c r="Z218" s="47"/>
      <c r="AA218" s="47"/>
      <c r="AB218" s="48"/>
      <c r="AC218" s="50"/>
      <c r="AD218" s="47"/>
      <c r="AE218" s="47"/>
      <c r="AF218" s="47"/>
      <c r="AG218" s="48"/>
      <c r="AH218" s="52"/>
      <c r="AI218" s="47"/>
      <c r="AJ218" s="47"/>
      <c r="AK218" s="47"/>
      <c r="AL218" s="48"/>
      <c r="AM218" s="106">
        <v>1230.8</v>
      </c>
      <c r="AN218" s="47"/>
      <c r="AO218" s="47"/>
      <c r="AP218" s="47"/>
      <c r="AQ218" s="48"/>
      <c r="AR218" s="82">
        <v>1217.1</v>
      </c>
      <c r="AS218" s="47"/>
      <c r="AT218" s="47"/>
      <c r="AU218" s="47"/>
      <c r="AV218" s="48"/>
      <c r="AW218" s="79"/>
      <c r="AX218" s="47"/>
      <c r="AY218" s="47"/>
      <c r="AZ218" s="47"/>
      <c r="BA218" s="48"/>
      <c r="BB218" s="80"/>
      <c r="BC218" s="47"/>
      <c r="BD218" s="47"/>
      <c r="BE218" s="47"/>
      <c r="BF218" s="47"/>
      <c r="BG218" s="81"/>
      <c r="BH218" s="47"/>
      <c r="BI218" s="47"/>
      <c r="BJ218" s="47"/>
      <c r="BK218" s="56"/>
    </row>
    <row r="219" ht="21.0" customHeight="1">
      <c r="A219" s="78"/>
      <c r="B219" s="44" t="s">
        <v>225</v>
      </c>
      <c r="C219" s="44" t="s">
        <v>246</v>
      </c>
      <c r="D219" s="45">
        <v>45161.0</v>
      </c>
      <c r="E219" s="45">
        <v>45163.0</v>
      </c>
      <c r="F219" s="44" t="s">
        <v>247</v>
      </c>
      <c r="G219" s="44" t="s">
        <v>59</v>
      </c>
      <c r="H219" s="44" t="s">
        <v>27</v>
      </c>
      <c r="I219" s="60"/>
      <c r="J219" s="47"/>
      <c r="K219" s="47"/>
      <c r="L219" s="47"/>
      <c r="M219" s="48"/>
      <c r="N219" s="61"/>
      <c r="O219" s="47"/>
      <c r="P219" s="47"/>
      <c r="Q219" s="47"/>
      <c r="R219" s="48"/>
      <c r="S219" s="50"/>
      <c r="T219" s="47"/>
      <c r="U219" s="47"/>
      <c r="V219" s="47"/>
      <c r="W219" s="48"/>
      <c r="X219" s="51"/>
      <c r="Y219" s="47"/>
      <c r="Z219" s="47"/>
      <c r="AA219" s="47"/>
      <c r="AB219" s="48"/>
      <c r="AC219" s="50"/>
      <c r="AD219" s="47"/>
      <c r="AE219" s="47"/>
      <c r="AF219" s="47"/>
      <c r="AG219" s="48"/>
      <c r="AH219" s="52"/>
      <c r="AI219" s="47"/>
      <c r="AJ219" s="47"/>
      <c r="AK219" s="47"/>
      <c r="AL219" s="48"/>
      <c r="AM219" s="106">
        <v>1193.25</v>
      </c>
      <c r="AN219" s="47"/>
      <c r="AO219" s="47"/>
      <c r="AP219" s="47"/>
      <c r="AQ219" s="48"/>
      <c r="AR219" s="82">
        <v>1180.82</v>
      </c>
      <c r="AS219" s="47"/>
      <c r="AT219" s="47"/>
      <c r="AU219" s="47"/>
      <c r="AV219" s="48"/>
      <c r="AW219" s="79"/>
      <c r="AX219" s="47"/>
      <c r="AY219" s="47"/>
      <c r="AZ219" s="47"/>
      <c r="BA219" s="48"/>
      <c r="BB219" s="80"/>
      <c r="BC219" s="47"/>
      <c r="BD219" s="47"/>
      <c r="BE219" s="47"/>
      <c r="BF219" s="47"/>
      <c r="BG219" s="81"/>
      <c r="BH219" s="47"/>
      <c r="BI219" s="47"/>
      <c r="BJ219" s="47"/>
      <c r="BK219" s="56"/>
    </row>
    <row r="220" ht="21.0" customHeight="1">
      <c r="A220" s="78"/>
      <c r="B220" s="119" t="s">
        <v>103</v>
      </c>
      <c r="C220" s="119" t="s">
        <v>296</v>
      </c>
      <c r="D220" s="120">
        <v>45161.0</v>
      </c>
      <c r="E220" s="120">
        <v>45162.0</v>
      </c>
      <c r="F220" s="119" t="s">
        <v>247</v>
      </c>
      <c r="G220" s="119" t="s">
        <v>59</v>
      </c>
      <c r="H220" s="121" t="s">
        <v>27</v>
      </c>
      <c r="I220" s="60"/>
      <c r="J220" s="47"/>
      <c r="K220" s="47"/>
      <c r="L220" s="47"/>
      <c r="M220" s="48"/>
      <c r="N220" s="61"/>
      <c r="O220" s="47"/>
      <c r="P220" s="47"/>
      <c r="Q220" s="47"/>
      <c r="R220" s="48"/>
      <c r="S220" s="50"/>
      <c r="T220" s="47"/>
      <c r="U220" s="47"/>
      <c r="V220" s="47"/>
      <c r="W220" s="48"/>
      <c r="X220" s="52"/>
      <c r="Y220" s="47"/>
      <c r="Z220" s="47"/>
      <c r="AA220" s="47"/>
      <c r="AB220" s="48"/>
      <c r="AC220" s="50"/>
      <c r="AD220" s="47"/>
      <c r="AE220" s="47"/>
      <c r="AF220" s="47"/>
      <c r="AG220" s="48"/>
      <c r="AH220" s="52"/>
      <c r="AI220" s="47"/>
      <c r="AJ220" s="47"/>
      <c r="AK220" s="47"/>
      <c r="AL220" s="48"/>
      <c r="AM220" s="46">
        <v>349.12</v>
      </c>
      <c r="AN220" s="47"/>
      <c r="AO220" s="47"/>
      <c r="AP220" s="47"/>
      <c r="AQ220" s="48"/>
      <c r="AR220" s="69">
        <v>325.99</v>
      </c>
      <c r="AS220" s="47"/>
      <c r="AT220" s="47"/>
      <c r="AU220" s="47"/>
      <c r="AV220" s="48"/>
      <c r="AW220" s="240"/>
      <c r="AX220" s="240"/>
      <c r="AY220" s="240"/>
      <c r="AZ220" s="240"/>
      <c r="BA220" s="240"/>
      <c r="BB220" s="80"/>
      <c r="BC220" s="80"/>
      <c r="BD220" s="80"/>
      <c r="BE220" s="80"/>
      <c r="BF220" s="80"/>
      <c r="BG220" s="241"/>
      <c r="BH220" s="241"/>
      <c r="BI220" s="241"/>
      <c r="BJ220" s="241"/>
      <c r="BK220" s="241"/>
    </row>
    <row r="221" ht="21.0" customHeight="1">
      <c r="A221" s="78"/>
      <c r="B221" s="44" t="s">
        <v>361</v>
      </c>
      <c r="C221" s="44" t="s">
        <v>362</v>
      </c>
      <c r="D221" s="45">
        <v>45152.0</v>
      </c>
      <c r="E221" s="45">
        <v>45156.0</v>
      </c>
      <c r="F221" s="44" t="s">
        <v>69</v>
      </c>
      <c r="G221" s="44" t="s">
        <v>64</v>
      </c>
      <c r="H221" s="44" t="s">
        <v>21</v>
      </c>
      <c r="I221" s="50"/>
      <c r="J221" s="47"/>
      <c r="K221" s="47"/>
      <c r="L221" s="47"/>
      <c r="M221" s="48"/>
      <c r="N221" s="52"/>
      <c r="O221" s="47"/>
      <c r="P221" s="47"/>
      <c r="Q221" s="47"/>
      <c r="R221" s="48"/>
      <c r="S221" s="50"/>
      <c r="T221" s="47"/>
      <c r="U221" s="47"/>
      <c r="V221" s="47"/>
      <c r="W221" s="48"/>
      <c r="X221" s="51"/>
      <c r="Y221" s="47"/>
      <c r="Z221" s="47"/>
      <c r="AA221" s="47"/>
      <c r="AB221" s="48"/>
      <c r="AC221" s="50"/>
      <c r="AD221" s="47"/>
      <c r="AE221" s="47"/>
      <c r="AF221" s="47"/>
      <c r="AG221" s="48"/>
      <c r="AH221" s="51"/>
      <c r="AI221" s="47"/>
      <c r="AJ221" s="47"/>
      <c r="AK221" s="47"/>
      <c r="AL221" s="48"/>
      <c r="AM221" s="46">
        <v>1405.78</v>
      </c>
      <c r="AN221" s="47"/>
      <c r="AO221" s="47"/>
      <c r="AP221" s="47"/>
      <c r="AQ221" s="48"/>
      <c r="AR221" s="105" t="s">
        <v>56</v>
      </c>
      <c r="AS221" s="47"/>
      <c r="AT221" s="47"/>
      <c r="AU221" s="47"/>
      <c r="AV221" s="48"/>
      <c r="AW221" s="79"/>
      <c r="AX221" s="47"/>
      <c r="AY221" s="47"/>
      <c r="AZ221" s="47"/>
      <c r="BA221" s="48"/>
      <c r="BB221" s="80"/>
      <c r="BC221" s="47"/>
      <c r="BD221" s="47"/>
      <c r="BE221" s="47"/>
      <c r="BF221" s="47"/>
      <c r="BG221" s="81"/>
      <c r="BH221" s="47"/>
      <c r="BI221" s="47"/>
      <c r="BJ221" s="47"/>
      <c r="BK221" s="56"/>
    </row>
    <row r="222" ht="21.0" customHeight="1">
      <c r="A222" s="78"/>
      <c r="B222" s="44" t="s">
        <v>237</v>
      </c>
      <c r="C222" s="44" t="s">
        <v>372</v>
      </c>
      <c r="D222" s="45">
        <v>45165.0</v>
      </c>
      <c r="E222" s="45">
        <v>45170.0</v>
      </c>
      <c r="F222" s="44" t="s">
        <v>69</v>
      </c>
      <c r="G222" s="44" t="s">
        <v>64</v>
      </c>
      <c r="H222" s="44" t="s">
        <v>21</v>
      </c>
      <c r="I222" s="50"/>
      <c r="J222" s="47"/>
      <c r="K222" s="47"/>
      <c r="L222" s="47"/>
      <c r="M222" s="48"/>
      <c r="N222" s="52"/>
      <c r="O222" s="47"/>
      <c r="P222" s="47"/>
      <c r="Q222" s="47"/>
      <c r="R222" s="48"/>
      <c r="S222" s="50"/>
      <c r="T222" s="47"/>
      <c r="U222" s="47"/>
      <c r="V222" s="47"/>
      <c r="W222" s="48"/>
      <c r="X222" s="51"/>
      <c r="Y222" s="47"/>
      <c r="Z222" s="47"/>
      <c r="AA222" s="47"/>
      <c r="AB222" s="48"/>
      <c r="AC222" s="50"/>
      <c r="AD222" s="47"/>
      <c r="AE222" s="47"/>
      <c r="AF222" s="47"/>
      <c r="AG222" s="48"/>
      <c r="AH222" s="51"/>
      <c r="AI222" s="47"/>
      <c r="AJ222" s="47"/>
      <c r="AK222" s="47"/>
      <c r="AL222" s="48"/>
      <c r="AM222" s="46">
        <v>1730.99</v>
      </c>
      <c r="AN222" s="47"/>
      <c r="AO222" s="47"/>
      <c r="AP222" s="47"/>
      <c r="AQ222" s="48"/>
      <c r="AR222" s="105" t="s">
        <v>56</v>
      </c>
      <c r="AS222" s="47"/>
      <c r="AT222" s="47"/>
      <c r="AU222" s="47"/>
      <c r="AV222" s="48"/>
      <c r="AW222" s="79"/>
      <c r="AX222" s="47"/>
      <c r="AY222" s="47"/>
      <c r="AZ222" s="47"/>
      <c r="BA222" s="48"/>
      <c r="BB222" s="80"/>
      <c r="BC222" s="47"/>
      <c r="BD222" s="47"/>
      <c r="BE222" s="47"/>
      <c r="BF222" s="47"/>
      <c r="BG222" s="81"/>
      <c r="BH222" s="47"/>
      <c r="BI222" s="47"/>
      <c r="BJ222" s="47"/>
      <c r="BK222" s="56"/>
    </row>
    <row r="223" ht="21.0" customHeight="1">
      <c r="A223" s="78"/>
      <c r="B223" s="44" t="s">
        <v>226</v>
      </c>
      <c r="C223" s="44" t="s">
        <v>372</v>
      </c>
      <c r="D223" s="45">
        <v>45165.0</v>
      </c>
      <c r="E223" s="45">
        <v>45170.0</v>
      </c>
      <c r="F223" s="44" t="s">
        <v>373</v>
      </c>
      <c r="G223" s="44" t="s">
        <v>195</v>
      </c>
      <c r="H223" s="44" t="s">
        <v>287</v>
      </c>
      <c r="I223" s="50"/>
      <c r="J223" s="47"/>
      <c r="K223" s="47"/>
      <c r="L223" s="47"/>
      <c r="M223" s="48"/>
      <c r="N223" s="52"/>
      <c r="O223" s="47"/>
      <c r="P223" s="47"/>
      <c r="Q223" s="47"/>
      <c r="R223" s="48"/>
      <c r="S223" s="50"/>
      <c r="T223" s="47"/>
      <c r="U223" s="47"/>
      <c r="V223" s="47"/>
      <c r="W223" s="48"/>
      <c r="X223" s="51"/>
      <c r="Y223" s="47"/>
      <c r="Z223" s="47"/>
      <c r="AA223" s="47"/>
      <c r="AB223" s="48"/>
      <c r="AC223" s="50"/>
      <c r="AD223" s="47"/>
      <c r="AE223" s="47"/>
      <c r="AF223" s="47"/>
      <c r="AG223" s="48"/>
      <c r="AH223" s="51"/>
      <c r="AI223" s="47"/>
      <c r="AJ223" s="47"/>
      <c r="AK223" s="47"/>
      <c r="AL223" s="48"/>
      <c r="AM223" s="46">
        <v>2289.22</v>
      </c>
      <c r="AN223" s="47"/>
      <c r="AO223" s="47"/>
      <c r="AP223" s="47"/>
      <c r="AQ223" s="48"/>
      <c r="AR223" s="105" t="s">
        <v>56</v>
      </c>
      <c r="AS223" s="47"/>
      <c r="AT223" s="47"/>
      <c r="AU223" s="47"/>
      <c r="AV223" s="48"/>
      <c r="AW223" s="239"/>
      <c r="AX223" s="47"/>
      <c r="AY223" s="47"/>
      <c r="AZ223" s="47"/>
      <c r="BA223" s="48"/>
      <c r="BB223" s="80"/>
      <c r="BC223" s="47"/>
      <c r="BD223" s="47"/>
      <c r="BE223" s="47"/>
      <c r="BF223" s="47"/>
      <c r="BG223" s="81"/>
      <c r="BH223" s="47"/>
      <c r="BI223" s="47"/>
      <c r="BJ223" s="47"/>
      <c r="BK223" s="56"/>
    </row>
    <row r="224" ht="21.0" customHeight="1">
      <c r="A224" s="78"/>
      <c r="B224" s="44" t="s">
        <v>358</v>
      </c>
      <c r="C224" s="44" t="s">
        <v>372</v>
      </c>
      <c r="D224" s="45">
        <v>45165.0</v>
      </c>
      <c r="E224" s="45">
        <v>45170.0</v>
      </c>
      <c r="F224" s="44" t="s">
        <v>373</v>
      </c>
      <c r="G224" s="44" t="s">
        <v>195</v>
      </c>
      <c r="H224" s="44" t="s">
        <v>287</v>
      </c>
      <c r="I224" s="50"/>
      <c r="J224" s="47"/>
      <c r="K224" s="47"/>
      <c r="L224" s="47"/>
      <c r="M224" s="48"/>
      <c r="N224" s="52"/>
      <c r="O224" s="47"/>
      <c r="P224" s="47"/>
      <c r="Q224" s="47"/>
      <c r="R224" s="48"/>
      <c r="S224" s="50"/>
      <c r="T224" s="47"/>
      <c r="U224" s="47"/>
      <c r="V224" s="47"/>
      <c r="W224" s="48"/>
      <c r="X224" s="51"/>
      <c r="Y224" s="47"/>
      <c r="Z224" s="47"/>
      <c r="AA224" s="47"/>
      <c r="AB224" s="48"/>
      <c r="AC224" s="50"/>
      <c r="AD224" s="47"/>
      <c r="AE224" s="47"/>
      <c r="AF224" s="47"/>
      <c r="AG224" s="48"/>
      <c r="AH224" s="51"/>
      <c r="AI224" s="47"/>
      <c r="AJ224" s="47"/>
      <c r="AK224" s="47"/>
      <c r="AL224" s="48"/>
      <c r="AM224" s="46">
        <v>2390.65</v>
      </c>
      <c r="AN224" s="47"/>
      <c r="AO224" s="47"/>
      <c r="AP224" s="47"/>
      <c r="AQ224" s="48"/>
      <c r="AR224" s="105" t="s">
        <v>56</v>
      </c>
      <c r="AS224" s="47"/>
      <c r="AT224" s="47"/>
      <c r="AU224" s="47"/>
      <c r="AV224" s="48"/>
      <c r="AW224" s="79"/>
      <c r="AX224" s="47"/>
      <c r="AY224" s="47"/>
      <c r="AZ224" s="47"/>
      <c r="BA224" s="48"/>
      <c r="BB224" s="80"/>
      <c r="BC224" s="47"/>
      <c r="BD224" s="47"/>
      <c r="BE224" s="47"/>
      <c r="BF224" s="47"/>
      <c r="BG224" s="81"/>
      <c r="BH224" s="47"/>
      <c r="BI224" s="47"/>
      <c r="BJ224" s="47"/>
      <c r="BK224" s="56"/>
    </row>
    <row r="225" ht="21.0" customHeight="1">
      <c r="A225" s="78"/>
      <c r="B225" s="44" t="s">
        <v>232</v>
      </c>
      <c r="C225" s="44" t="s">
        <v>372</v>
      </c>
      <c r="D225" s="45">
        <v>45165.0</v>
      </c>
      <c r="E225" s="45">
        <v>45170.0</v>
      </c>
      <c r="F225" s="44" t="s">
        <v>373</v>
      </c>
      <c r="G225" s="44" t="s">
        <v>195</v>
      </c>
      <c r="H225" s="44" t="s">
        <v>287</v>
      </c>
      <c r="I225" s="50"/>
      <c r="J225" s="47"/>
      <c r="K225" s="47"/>
      <c r="L225" s="47"/>
      <c r="M225" s="48"/>
      <c r="N225" s="52"/>
      <c r="O225" s="47"/>
      <c r="P225" s="47"/>
      <c r="Q225" s="47"/>
      <c r="R225" s="48"/>
      <c r="S225" s="50"/>
      <c r="T225" s="47"/>
      <c r="U225" s="47"/>
      <c r="V225" s="47"/>
      <c r="W225" s="48"/>
      <c r="X225" s="51"/>
      <c r="Y225" s="47"/>
      <c r="Z225" s="47"/>
      <c r="AA225" s="47"/>
      <c r="AB225" s="48"/>
      <c r="AC225" s="50"/>
      <c r="AD225" s="47"/>
      <c r="AE225" s="47"/>
      <c r="AF225" s="47"/>
      <c r="AG225" s="48"/>
      <c r="AH225" s="51"/>
      <c r="AI225" s="47"/>
      <c r="AJ225" s="47"/>
      <c r="AK225" s="47"/>
      <c r="AL225" s="48"/>
      <c r="AM225" s="46">
        <v>1855.77</v>
      </c>
      <c r="AN225" s="47"/>
      <c r="AO225" s="47"/>
      <c r="AP225" s="47"/>
      <c r="AQ225" s="48"/>
      <c r="AR225" s="105" t="s">
        <v>56</v>
      </c>
      <c r="AS225" s="47"/>
      <c r="AT225" s="47"/>
      <c r="AU225" s="47"/>
      <c r="AV225" s="48"/>
      <c r="AW225" s="79"/>
      <c r="AX225" s="47"/>
      <c r="AY225" s="47"/>
      <c r="AZ225" s="47"/>
      <c r="BA225" s="48"/>
      <c r="BB225" s="80"/>
      <c r="BC225" s="47"/>
      <c r="BD225" s="47"/>
      <c r="BE225" s="47"/>
      <c r="BF225" s="47"/>
      <c r="BG225" s="81"/>
      <c r="BH225" s="47"/>
      <c r="BI225" s="47"/>
      <c r="BJ225" s="47"/>
      <c r="BK225" s="56"/>
    </row>
    <row r="226" ht="21.0" customHeight="1">
      <c r="A226" s="78"/>
      <c r="B226" s="44" t="s">
        <v>57</v>
      </c>
      <c r="C226" s="44" t="s">
        <v>122</v>
      </c>
      <c r="D226" s="45">
        <v>45165.0</v>
      </c>
      <c r="E226" s="45">
        <v>45172.0</v>
      </c>
      <c r="F226" s="44" t="s">
        <v>123</v>
      </c>
      <c r="G226" s="44" t="s">
        <v>84</v>
      </c>
      <c r="H226" s="57" t="s">
        <v>124</v>
      </c>
      <c r="I226" s="50"/>
      <c r="J226" s="47"/>
      <c r="K226" s="47"/>
      <c r="L226" s="47"/>
      <c r="M226" s="48"/>
      <c r="N226" s="61"/>
      <c r="O226" s="47"/>
      <c r="P226" s="47"/>
      <c r="Q226" s="47"/>
      <c r="R226" s="48"/>
      <c r="S226" s="50"/>
      <c r="T226" s="47"/>
      <c r="U226" s="47"/>
      <c r="V226" s="47"/>
      <c r="W226" s="48"/>
      <c r="X226" s="51"/>
      <c r="Y226" s="47"/>
      <c r="Z226" s="47"/>
      <c r="AA226" s="47"/>
      <c r="AB226" s="48"/>
      <c r="AC226" s="50"/>
      <c r="AD226" s="47"/>
      <c r="AE226" s="47"/>
      <c r="AF226" s="47"/>
      <c r="AG226" s="48"/>
      <c r="AH226" s="51"/>
      <c r="AI226" s="47"/>
      <c r="AJ226" s="47"/>
      <c r="AK226" s="47"/>
      <c r="AL226" s="48"/>
      <c r="AM226" s="46">
        <v>2000.37</v>
      </c>
      <c r="AN226" s="47"/>
      <c r="AO226" s="47"/>
      <c r="AP226" s="47"/>
      <c r="AQ226" s="48"/>
      <c r="AR226" s="69">
        <v>1936.08</v>
      </c>
      <c r="AS226" s="47"/>
      <c r="AT226" s="47"/>
      <c r="AU226" s="47"/>
      <c r="AV226" s="48"/>
      <c r="AW226" s="79"/>
      <c r="AX226" s="47"/>
      <c r="AY226" s="47"/>
      <c r="AZ226" s="47"/>
      <c r="BA226" s="48"/>
      <c r="BB226" s="80"/>
      <c r="BC226" s="47"/>
      <c r="BD226" s="47"/>
      <c r="BE226" s="47"/>
      <c r="BF226" s="47"/>
      <c r="BG226" s="81"/>
      <c r="BH226" s="47"/>
      <c r="BI226" s="47"/>
      <c r="BJ226" s="47"/>
      <c r="BK226" s="56"/>
    </row>
    <row r="227" ht="21.0" customHeight="1">
      <c r="A227" s="78"/>
      <c r="B227" s="44" t="s">
        <v>407</v>
      </c>
      <c r="C227" s="44" t="s">
        <v>122</v>
      </c>
      <c r="D227" s="45">
        <v>45165.0</v>
      </c>
      <c r="E227" s="45">
        <v>45170.0</v>
      </c>
      <c r="F227" s="44" t="s">
        <v>409</v>
      </c>
      <c r="G227" s="44" t="s">
        <v>84</v>
      </c>
      <c r="H227" s="44" t="s">
        <v>124</v>
      </c>
      <c r="I227" s="60"/>
      <c r="J227" s="47"/>
      <c r="K227" s="47"/>
      <c r="L227" s="47"/>
      <c r="M227" s="48"/>
      <c r="N227" s="61"/>
      <c r="O227" s="47"/>
      <c r="P227" s="47"/>
      <c r="Q227" s="47"/>
      <c r="R227" s="48"/>
      <c r="S227" s="50"/>
      <c r="T227" s="47"/>
      <c r="U227" s="47"/>
      <c r="V227" s="47"/>
      <c r="W227" s="48"/>
      <c r="X227" s="52"/>
      <c r="Y227" s="47"/>
      <c r="Z227" s="47"/>
      <c r="AA227" s="47"/>
      <c r="AB227" s="48"/>
      <c r="AC227" s="50"/>
      <c r="AD227" s="47"/>
      <c r="AE227" s="47"/>
      <c r="AF227" s="47"/>
      <c r="AG227" s="48"/>
      <c r="AH227" s="52"/>
      <c r="AI227" s="47"/>
      <c r="AJ227" s="47"/>
      <c r="AK227" s="47"/>
      <c r="AL227" s="48"/>
      <c r="AM227" s="46">
        <v>2474.81</v>
      </c>
      <c r="AN227" s="47"/>
      <c r="AO227" s="47"/>
      <c r="AP227" s="47"/>
      <c r="AQ227" s="48"/>
      <c r="AR227" s="105">
        <v>2391.7</v>
      </c>
      <c r="AS227" s="47"/>
      <c r="AT227" s="47"/>
      <c r="AU227" s="47"/>
      <c r="AV227" s="48"/>
      <c r="AW227" s="79"/>
      <c r="AX227" s="47"/>
      <c r="AY227" s="47"/>
      <c r="AZ227" s="47"/>
      <c r="BA227" s="48"/>
      <c r="BB227" s="80"/>
      <c r="BC227" s="47"/>
      <c r="BD227" s="47"/>
      <c r="BE227" s="47"/>
      <c r="BF227" s="47"/>
      <c r="BG227" s="81"/>
      <c r="BH227" s="47"/>
      <c r="BI227" s="47"/>
      <c r="BJ227" s="47"/>
      <c r="BK227" s="56"/>
    </row>
    <row r="228" ht="21.0" customHeight="1">
      <c r="A228" s="78"/>
      <c r="B228" s="44" t="s">
        <v>235</v>
      </c>
      <c r="C228" s="44" t="s">
        <v>246</v>
      </c>
      <c r="D228" s="45">
        <v>45161.0</v>
      </c>
      <c r="E228" s="45">
        <v>45162.0</v>
      </c>
      <c r="F228" s="44" t="s">
        <v>247</v>
      </c>
      <c r="G228" s="44" t="s">
        <v>59</v>
      </c>
      <c r="H228" s="44" t="s">
        <v>27</v>
      </c>
      <c r="I228" s="60"/>
      <c r="J228" s="47"/>
      <c r="K228" s="47"/>
      <c r="L228" s="47"/>
      <c r="M228" s="48"/>
      <c r="N228" s="61"/>
      <c r="O228" s="47"/>
      <c r="P228" s="47"/>
      <c r="Q228" s="47"/>
      <c r="R228" s="48"/>
      <c r="S228" s="50"/>
      <c r="T228" s="47"/>
      <c r="U228" s="47"/>
      <c r="V228" s="47"/>
      <c r="W228" s="48"/>
      <c r="X228" s="51"/>
      <c r="Y228" s="47"/>
      <c r="Z228" s="47"/>
      <c r="AA228" s="47"/>
      <c r="AB228" s="48"/>
      <c r="AC228" s="50"/>
      <c r="AD228" s="47"/>
      <c r="AE228" s="47"/>
      <c r="AF228" s="47"/>
      <c r="AG228" s="48"/>
      <c r="AH228" s="52"/>
      <c r="AI228" s="47"/>
      <c r="AJ228" s="47"/>
      <c r="AK228" s="47"/>
      <c r="AL228" s="48"/>
      <c r="AM228" s="106">
        <v>540.3</v>
      </c>
      <c r="AN228" s="47"/>
      <c r="AO228" s="47"/>
      <c r="AP228" s="47"/>
      <c r="AQ228" s="48"/>
      <c r="AR228" s="82">
        <v>559.79</v>
      </c>
      <c r="AS228" s="47"/>
      <c r="AT228" s="47"/>
      <c r="AU228" s="47"/>
      <c r="AV228" s="48"/>
      <c r="AW228" s="79"/>
      <c r="AX228" s="47"/>
      <c r="AY228" s="47"/>
      <c r="AZ228" s="47"/>
      <c r="BA228" s="48"/>
      <c r="BB228" s="80"/>
      <c r="BC228" s="47"/>
      <c r="BD228" s="47"/>
      <c r="BE228" s="47"/>
      <c r="BF228" s="47"/>
      <c r="BG228" s="81"/>
      <c r="BH228" s="47"/>
      <c r="BI228" s="47"/>
      <c r="BJ228" s="47"/>
      <c r="BK228" s="56"/>
    </row>
    <row r="229" ht="21.0" customHeight="1">
      <c r="A229" s="78"/>
      <c r="B229" s="44" t="s">
        <v>17</v>
      </c>
      <c r="C229" s="44" t="s">
        <v>35</v>
      </c>
      <c r="D229" s="45">
        <v>45165.0</v>
      </c>
      <c r="E229" s="45">
        <v>45170.0</v>
      </c>
      <c r="F229" s="44" t="s">
        <v>32</v>
      </c>
      <c r="G229" s="44" t="s">
        <v>26</v>
      </c>
      <c r="H229" s="57" t="s">
        <v>21</v>
      </c>
      <c r="I229" s="50"/>
      <c r="J229" s="47"/>
      <c r="K229" s="47"/>
      <c r="L229" s="47"/>
      <c r="M229" s="48"/>
      <c r="N229" s="61"/>
      <c r="O229" s="47"/>
      <c r="P229" s="47"/>
      <c r="Q229" s="47"/>
      <c r="R229" s="48"/>
      <c r="S229" s="91"/>
      <c r="T229" s="47"/>
      <c r="U229" s="47"/>
      <c r="V229" s="47"/>
      <c r="W229" s="48"/>
      <c r="X229" s="100"/>
      <c r="Y229" s="47"/>
      <c r="Z229" s="47"/>
      <c r="AA229" s="47"/>
      <c r="AB229" s="48"/>
      <c r="AC229" s="91"/>
      <c r="AD229" s="47"/>
      <c r="AE229" s="47"/>
      <c r="AF229" s="47"/>
      <c r="AG229" s="48"/>
      <c r="AH229" s="52"/>
      <c r="AI229" s="47"/>
      <c r="AJ229" s="47"/>
      <c r="AK229" s="47"/>
      <c r="AL229" s="48"/>
      <c r="AM229" s="106">
        <v>2297.27</v>
      </c>
      <c r="AN229" s="47"/>
      <c r="AO229" s="47"/>
      <c r="AP229" s="47"/>
      <c r="AQ229" s="48"/>
      <c r="AR229" s="82">
        <v>2391.25</v>
      </c>
      <c r="AS229" s="47"/>
      <c r="AT229" s="47"/>
      <c r="AU229" s="47"/>
      <c r="AV229" s="48"/>
      <c r="AW229" s="79"/>
      <c r="AX229" s="47"/>
      <c r="AY229" s="47"/>
      <c r="AZ229" s="47"/>
      <c r="BA229" s="48"/>
      <c r="BB229" s="80"/>
      <c r="BC229" s="47"/>
      <c r="BD229" s="47"/>
      <c r="BE229" s="47"/>
      <c r="BF229" s="47"/>
      <c r="BG229" s="81"/>
      <c r="BH229" s="47"/>
      <c r="BI229" s="47"/>
      <c r="BJ229" s="47"/>
      <c r="BK229" s="56"/>
    </row>
    <row r="230" ht="21.0" customHeight="1">
      <c r="A230" s="78"/>
      <c r="B230" s="44" t="s">
        <v>254</v>
      </c>
      <c r="C230" s="44" t="s">
        <v>246</v>
      </c>
      <c r="D230" s="45">
        <v>45161.0</v>
      </c>
      <c r="E230" s="45">
        <v>45163.0</v>
      </c>
      <c r="F230" s="44" t="s">
        <v>247</v>
      </c>
      <c r="G230" s="44" t="s">
        <v>59</v>
      </c>
      <c r="H230" s="44" t="s">
        <v>27</v>
      </c>
      <c r="I230" s="60"/>
      <c r="J230" s="47"/>
      <c r="K230" s="47"/>
      <c r="L230" s="47"/>
      <c r="M230" s="48"/>
      <c r="N230" s="61"/>
      <c r="O230" s="47"/>
      <c r="P230" s="47"/>
      <c r="Q230" s="47"/>
      <c r="R230" s="48"/>
      <c r="S230" s="50"/>
      <c r="T230" s="47"/>
      <c r="U230" s="47"/>
      <c r="V230" s="47"/>
      <c r="W230" s="48"/>
      <c r="X230" s="51"/>
      <c r="Y230" s="47"/>
      <c r="Z230" s="47"/>
      <c r="AA230" s="47"/>
      <c r="AB230" s="48"/>
      <c r="AC230" s="50"/>
      <c r="AD230" s="47"/>
      <c r="AE230" s="47"/>
      <c r="AF230" s="47"/>
      <c r="AG230" s="48"/>
      <c r="AH230" s="52"/>
      <c r="AI230" s="47"/>
      <c r="AJ230" s="47"/>
      <c r="AK230" s="47"/>
      <c r="AL230" s="48"/>
      <c r="AM230" s="106">
        <v>1536.65</v>
      </c>
      <c r="AN230" s="47"/>
      <c r="AO230" s="47"/>
      <c r="AP230" s="47"/>
      <c r="AQ230" s="48"/>
      <c r="AR230" s="82">
        <v>1529.53</v>
      </c>
      <c r="AS230" s="47"/>
      <c r="AT230" s="47"/>
      <c r="AU230" s="47"/>
      <c r="AV230" s="48"/>
      <c r="AW230" s="79"/>
      <c r="AX230" s="47"/>
      <c r="AY230" s="47"/>
      <c r="AZ230" s="47"/>
      <c r="BA230" s="48"/>
      <c r="BB230" s="80"/>
      <c r="BC230" s="47"/>
      <c r="BD230" s="47"/>
      <c r="BE230" s="47"/>
      <c r="BF230" s="47"/>
      <c r="BG230" s="81"/>
      <c r="BH230" s="47"/>
      <c r="BI230" s="47"/>
      <c r="BJ230" s="47"/>
      <c r="BK230" s="56"/>
    </row>
    <row r="231" ht="21.0" customHeight="1">
      <c r="A231" s="78"/>
      <c r="B231" s="44" t="s">
        <v>51</v>
      </c>
      <c r="C231" s="44" t="s">
        <v>126</v>
      </c>
      <c r="D231" s="45">
        <v>45173.0</v>
      </c>
      <c r="E231" s="45">
        <v>45176.0</v>
      </c>
      <c r="F231" s="44" t="s">
        <v>127</v>
      </c>
      <c r="G231" s="44" t="s">
        <v>26</v>
      </c>
      <c r="H231" s="57" t="s">
        <v>21</v>
      </c>
      <c r="I231" s="50"/>
      <c r="J231" s="47"/>
      <c r="K231" s="47"/>
      <c r="L231" s="47"/>
      <c r="M231" s="48"/>
      <c r="N231" s="61"/>
      <c r="O231" s="47"/>
      <c r="P231" s="47"/>
      <c r="Q231" s="47"/>
      <c r="R231" s="48"/>
      <c r="S231" s="91"/>
      <c r="T231" s="47"/>
      <c r="U231" s="47"/>
      <c r="V231" s="47"/>
      <c r="W231" s="48"/>
      <c r="X231" s="51"/>
      <c r="Y231" s="47"/>
      <c r="Z231" s="47"/>
      <c r="AA231" s="47"/>
      <c r="AB231" s="48"/>
      <c r="AC231" s="91"/>
      <c r="AD231" s="47"/>
      <c r="AE231" s="47"/>
      <c r="AF231" s="47"/>
      <c r="AG231" s="48"/>
      <c r="AH231" s="51"/>
      <c r="AI231" s="47"/>
      <c r="AJ231" s="47"/>
      <c r="AK231" s="47"/>
      <c r="AL231" s="48"/>
      <c r="AM231" s="106">
        <v>1898.07</v>
      </c>
      <c r="AN231" s="47"/>
      <c r="AO231" s="47"/>
      <c r="AP231" s="47"/>
      <c r="AQ231" s="48"/>
      <c r="AR231" s="69">
        <v>1818.39</v>
      </c>
      <c r="AS231" s="47"/>
      <c r="AT231" s="47"/>
      <c r="AU231" s="47"/>
      <c r="AV231" s="48"/>
      <c r="AW231" s="79"/>
      <c r="AX231" s="47"/>
      <c r="AY231" s="47"/>
      <c r="AZ231" s="47"/>
      <c r="BA231" s="48"/>
      <c r="BB231" s="80"/>
      <c r="BC231" s="47"/>
      <c r="BD231" s="47"/>
      <c r="BE231" s="47"/>
      <c r="BF231" s="47"/>
      <c r="BG231" s="81"/>
      <c r="BH231" s="47"/>
      <c r="BI231" s="47"/>
      <c r="BJ231" s="47"/>
      <c r="BK231" s="56"/>
    </row>
    <row r="232" ht="21.0" customHeight="1">
      <c r="A232" s="78"/>
      <c r="B232" s="44" t="s">
        <v>150</v>
      </c>
      <c r="C232" s="44" t="s">
        <v>205</v>
      </c>
      <c r="D232" s="45">
        <v>45180.0</v>
      </c>
      <c r="E232" s="45">
        <v>45181.0</v>
      </c>
      <c r="F232" s="44" t="s">
        <v>262</v>
      </c>
      <c r="G232" s="44" t="s">
        <v>59</v>
      </c>
      <c r="H232" s="57" t="s">
        <v>27</v>
      </c>
      <c r="I232" s="50"/>
      <c r="J232" s="47"/>
      <c r="K232" s="47"/>
      <c r="L232" s="47"/>
      <c r="M232" s="48"/>
      <c r="N232" s="51"/>
      <c r="O232" s="47"/>
      <c r="P232" s="47"/>
      <c r="Q232" s="47"/>
      <c r="R232" s="48"/>
      <c r="S232" s="50"/>
      <c r="T232" s="47"/>
      <c r="U232" s="47"/>
      <c r="V232" s="47"/>
      <c r="W232" s="48"/>
      <c r="X232" s="61"/>
      <c r="Y232" s="47"/>
      <c r="Z232" s="47"/>
      <c r="AA232" s="47"/>
      <c r="AB232" s="48"/>
      <c r="AC232" s="50"/>
      <c r="AD232" s="47"/>
      <c r="AE232" s="47"/>
      <c r="AF232" s="47"/>
      <c r="AG232" s="48"/>
      <c r="AH232" s="52"/>
      <c r="AI232" s="47"/>
      <c r="AJ232" s="47"/>
      <c r="AK232" s="47"/>
      <c r="AL232" s="48"/>
      <c r="AM232" s="46">
        <v>396.94</v>
      </c>
      <c r="AN232" s="47"/>
      <c r="AO232" s="47"/>
      <c r="AP232" s="47"/>
      <c r="AQ232" s="48"/>
      <c r="AR232" s="69">
        <v>375.81</v>
      </c>
      <c r="AS232" s="47"/>
      <c r="AT232" s="47"/>
      <c r="AU232" s="47"/>
      <c r="AV232" s="48"/>
      <c r="AW232" s="79"/>
      <c r="AX232" s="47"/>
      <c r="AY232" s="47"/>
      <c r="AZ232" s="47"/>
      <c r="BA232" s="48"/>
      <c r="BB232" s="80"/>
      <c r="BC232" s="47"/>
      <c r="BD232" s="47"/>
      <c r="BE232" s="47"/>
      <c r="BF232" s="47"/>
      <c r="BG232" s="81"/>
      <c r="BH232" s="47"/>
      <c r="BI232" s="47"/>
      <c r="BJ232" s="47"/>
      <c r="BK232" s="56"/>
    </row>
    <row r="233" ht="21.0" customHeight="1">
      <c r="A233" s="78"/>
      <c r="B233" s="44" t="s">
        <v>252</v>
      </c>
      <c r="C233" s="44" t="s">
        <v>205</v>
      </c>
      <c r="D233" s="45">
        <v>45180.0</v>
      </c>
      <c r="E233" s="45">
        <v>45181.0</v>
      </c>
      <c r="F233" s="44" t="s">
        <v>262</v>
      </c>
      <c r="G233" s="44" t="s">
        <v>59</v>
      </c>
      <c r="H233" s="57" t="s">
        <v>27</v>
      </c>
      <c r="I233" s="50"/>
      <c r="J233" s="47"/>
      <c r="K233" s="47"/>
      <c r="L233" s="47"/>
      <c r="M233" s="48"/>
      <c r="N233" s="51"/>
      <c r="O233" s="47"/>
      <c r="P233" s="47"/>
      <c r="Q233" s="47"/>
      <c r="R233" s="48"/>
      <c r="S233" s="50"/>
      <c r="T233" s="47"/>
      <c r="U233" s="47"/>
      <c r="V233" s="47"/>
      <c r="W233" s="48"/>
      <c r="X233" s="61"/>
      <c r="Y233" s="47"/>
      <c r="Z233" s="47"/>
      <c r="AA233" s="47"/>
      <c r="AB233" s="48"/>
      <c r="AC233" s="50"/>
      <c r="AD233" s="47"/>
      <c r="AE233" s="47"/>
      <c r="AF233" s="47"/>
      <c r="AG233" s="48"/>
      <c r="AH233" s="52"/>
      <c r="AI233" s="47"/>
      <c r="AJ233" s="47"/>
      <c r="AK233" s="47"/>
      <c r="AL233" s="48"/>
      <c r="AM233" s="46">
        <v>376.94</v>
      </c>
      <c r="AN233" s="47"/>
      <c r="AO233" s="47"/>
      <c r="AP233" s="47"/>
      <c r="AQ233" s="48"/>
      <c r="AR233" s="69">
        <v>375.81</v>
      </c>
      <c r="AS233" s="47"/>
      <c r="AT233" s="47"/>
      <c r="AU233" s="47"/>
      <c r="AV233" s="48"/>
      <c r="AW233" s="79"/>
      <c r="AX233" s="47"/>
      <c r="AY233" s="47"/>
      <c r="AZ233" s="47"/>
      <c r="BA233" s="48"/>
      <c r="BB233" s="80"/>
      <c r="BC233" s="47"/>
      <c r="BD233" s="47"/>
      <c r="BE233" s="47"/>
      <c r="BF233" s="47"/>
      <c r="BG233" s="81"/>
      <c r="BH233" s="47"/>
      <c r="BI233" s="47"/>
      <c r="BJ233" s="47"/>
      <c r="BK233" s="56"/>
    </row>
    <row r="234" ht="21.0" customHeight="1">
      <c r="A234" s="78"/>
      <c r="B234" s="44" t="s">
        <v>252</v>
      </c>
      <c r="C234" s="44" t="s">
        <v>205</v>
      </c>
      <c r="D234" s="45">
        <v>45175.0</v>
      </c>
      <c r="E234" s="45">
        <v>45176.0</v>
      </c>
      <c r="F234" s="44" t="s">
        <v>209</v>
      </c>
      <c r="G234" s="44" t="s">
        <v>59</v>
      </c>
      <c r="H234" s="57" t="s">
        <v>27</v>
      </c>
      <c r="I234" s="50"/>
      <c r="J234" s="47"/>
      <c r="K234" s="47"/>
      <c r="L234" s="47"/>
      <c r="M234" s="48"/>
      <c r="N234" s="51"/>
      <c r="O234" s="47"/>
      <c r="P234" s="47"/>
      <c r="Q234" s="47"/>
      <c r="R234" s="48"/>
      <c r="S234" s="50"/>
      <c r="T234" s="47"/>
      <c r="U234" s="47"/>
      <c r="V234" s="47"/>
      <c r="W234" s="48"/>
      <c r="X234" s="61"/>
      <c r="Y234" s="47"/>
      <c r="Z234" s="47"/>
      <c r="AA234" s="47"/>
      <c r="AB234" s="48"/>
      <c r="AC234" s="50"/>
      <c r="AD234" s="47"/>
      <c r="AE234" s="47"/>
      <c r="AF234" s="47"/>
      <c r="AG234" s="48"/>
      <c r="AH234" s="52"/>
      <c r="AI234" s="47"/>
      <c r="AJ234" s="47"/>
      <c r="AK234" s="47"/>
      <c r="AL234" s="48"/>
      <c r="AM234" s="46">
        <v>263.12</v>
      </c>
      <c r="AN234" s="47"/>
      <c r="AO234" s="47"/>
      <c r="AP234" s="47"/>
      <c r="AQ234" s="48"/>
      <c r="AR234" s="69">
        <v>243.12</v>
      </c>
      <c r="AS234" s="47"/>
      <c r="AT234" s="47"/>
      <c r="AU234" s="47"/>
      <c r="AV234" s="48"/>
      <c r="AW234" s="79"/>
      <c r="AX234" s="47"/>
      <c r="AY234" s="47"/>
      <c r="AZ234" s="47"/>
      <c r="BA234" s="48"/>
      <c r="BB234" s="80"/>
      <c r="BC234" s="47"/>
      <c r="BD234" s="47"/>
      <c r="BE234" s="47"/>
      <c r="BF234" s="47"/>
      <c r="BG234" s="81"/>
      <c r="BH234" s="47"/>
      <c r="BI234" s="47"/>
      <c r="BJ234" s="47"/>
      <c r="BK234" s="56"/>
    </row>
    <row r="235" ht="21.0" customHeight="1">
      <c r="A235" s="78"/>
      <c r="B235" s="44" t="s">
        <v>150</v>
      </c>
      <c r="C235" s="44" t="s">
        <v>205</v>
      </c>
      <c r="D235" s="45">
        <v>45175.0</v>
      </c>
      <c r="E235" s="45">
        <v>45176.0</v>
      </c>
      <c r="F235" s="44" t="s">
        <v>209</v>
      </c>
      <c r="G235" s="44" t="s">
        <v>59</v>
      </c>
      <c r="H235" s="57" t="s">
        <v>27</v>
      </c>
      <c r="I235" s="50"/>
      <c r="J235" s="47"/>
      <c r="K235" s="47"/>
      <c r="L235" s="47"/>
      <c r="M235" s="48"/>
      <c r="N235" s="51"/>
      <c r="O235" s="47"/>
      <c r="P235" s="47"/>
      <c r="Q235" s="47"/>
      <c r="R235" s="48"/>
      <c r="S235" s="50"/>
      <c r="T235" s="47"/>
      <c r="U235" s="47"/>
      <c r="V235" s="47"/>
      <c r="W235" s="48"/>
      <c r="X235" s="61"/>
      <c r="Y235" s="47"/>
      <c r="Z235" s="47"/>
      <c r="AA235" s="47"/>
      <c r="AB235" s="48"/>
      <c r="AC235" s="50"/>
      <c r="AD235" s="47"/>
      <c r="AE235" s="47"/>
      <c r="AF235" s="47"/>
      <c r="AG235" s="48"/>
      <c r="AH235" s="52"/>
      <c r="AI235" s="47"/>
      <c r="AJ235" s="47"/>
      <c r="AK235" s="47"/>
      <c r="AL235" s="48"/>
      <c r="AM235" s="46">
        <v>256.12</v>
      </c>
      <c r="AN235" s="47"/>
      <c r="AO235" s="47"/>
      <c r="AP235" s="47"/>
      <c r="AQ235" s="48"/>
      <c r="AR235" s="69">
        <v>251.43</v>
      </c>
      <c r="AS235" s="47"/>
      <c r="AT235" s="47"/>
      <c r="AU235" s="47"/>
      <c r="AV235" s="48"/>
      <c r="AW235" s="79"/>
      <c r="AX235" s="47"/>
      <c r="AY235" s="47"/>
      <c r="AZ235" s="47"/>
      <c r="BA235" s="48"/>
      <c r="BB235" s="80"/>
      <c r="BC235" s="47"/>
      <c r="BD235" s="47"/>
      <c r="BE235" s="47"/>
      <c r="BF235" s="47"/>
      <c r="BG235" s="81"/>
      <c r="BH235" s="47"/>
      <c r="BI235" s="47"/>
      <c r="BJ235" s="47"/>
      <c r="BK235" s="56"/>
    </row>
    <row r="236" ht="21.0" customHeight="1">
      <c r="A236" s="78"/>
      <c r="B236" s="44" t="s">
        <v>352</v>
      </c>
      <c r="C236" s="44" t="s">
        <v>379</v>
      </c>
      <c r="D236" s="45">
        <v>45187.0</v>
      </c>
      <c r="E236" s="45">
        <v>45188.0</v>
      </c>
      <c r="F236" s="44" t="s">
        <v>380</v>
      </c>
      <c r="G236" s="44" t="s">
        <v>59</v>
      </c>
      <c r="H236" s="44" t="s">
        <v>27</v>
      </c>
      <c r="I236" s="50"/>
      <c r="J236" s="47"/>
      <c r="K236" s="47"/>
      <c r="L236" s="47"/>
      <c r="M236" s="48"/>
      <c r="N236" s="52"/>
      <c r="O236" s="47"/>
      <c r="P236" s="47"/>
      <c r="Q236" s="47"/>
      <c r="R236" s="48"/>
      <c r="S236" s="50"/>
      <c r="T236" s="47"/>
      <c r="U236" s="47"/>
      <c r="V236" s="47"/>
      <c r="W236" s="48"/>
      <c r="X236" s="51"/>
      <c r="Y236" s="47"/>
      <c r="Z236" s="47"/>
      <c r="AA236" s="47"/>
      <c r="AB236" s="48"/>
      <c r="AC236" s="50"/>
      <c r="AD236" s="47"/>
      <c r="AE236" s="47"/>
      <c r="AF236" s="47"/>
      <c r="AG236" s="48"/>
      <c r="AH236" s="51"/>
      <c r="AI236" s="47"/>
      <c r="AJ236" s="47"/>
      <c r="AK236" s="47"/>
      <c r="AL236" s="48"/>
      <c r="AM236" s="46">
        <v>545.37</v>
      </c>
      <c r="AN236" s="47"/>
      <c r="AO236" s="47"/>
      <c r="AP236" s="47"/>
      <c r="AQ236" s="48"/>
      <c r="AR236" s="105">
        <v>577.53</v>
      </c>
      <c r="AS236" s="47"/>
      <c r="AT236" s="47"/>
      <c r="AU236" s="47"/>
      <c r="AV236" s="48"/>
      <c r="AW236" s="79"/>
      <c r="AX236" s="47"/>
      <c r="AY236" s="47"/>
      <c r="AZ236" s="47"/>
      <c r="BA236" s="48"/>
      <c r="BB236" s="80"/>
      <c r="BC236" s="47"/>
      <c r="BD236" s="47"/>
      <c r="BE236" s="47"/>
      <c r="BF236" s="47"/>
      <c r="BG236" s="81"/>
      <c r="BH236" s="47"/>
      <c r="BI236" s="47"/>
      <c r="BJ236" s="47"/>
      <c r="BK236" s="56"/>
    </row>
    <row r="237" ht="21.0" customHeight="1">
      <c r="A237" s="78"/>
      <c r="B237" s="44" t="s">
        <v>200</v>
      </c>
      <c r="C237" s="44" t="s">
        <v>379</v>
      </c>
      <c r="D237" s="45">
        <v>45187.0</v>
      </c>
      <c r="E237" s="45">
        <v>45188.0</v>
      </c>
      <c r="F237" s="44" t="s">
        <v>412</v>
      </c>
      <c r="G237" s="44" t="s">
        <v>187</v>
      </c>
      <c r="H237" s="44" t="s">
        <v>27</v>
      </c>
      <c r="I237" s="60"/>
      <c r="J237" s="47"/>
      <c r="K237" s="47"/>
      <c r="L237" s="47"/>
      <c r="M237" s="48"/>
      <c r="N237" s="61"/>
      <c r="O237" s="47"/>
      <c r="P237" s="47"/>
      <c r="Q237" s="47"/>
      <c r="R237" s="48"/>
      <c r="S237" s="50"/>
      <c r="T237" s="47"/>
      <c r="U237" s="47"/>
      <c r="V237" s="47"/>
      <c r="W237" s="48"/>
      <c r="X237" s="52"/>
      <c r="Y237" s="47"/>
      <c r="Z237" s="47"/>
      <c r="AA237" s="47"/>
      <c r="AB237" s="48"/>
      <c r="AC237" s="50"/>
      <c r="AD237" s="47"/>
      <c r="AE237" s="47"/>
      <c r="AF237" s="47"/>
      <c r="AG237" s="48"/>
      <c r="AH237" s="52"/>
      <c r="AI237" s="47"/>
      <c r="AJ237" s="47"/>
      <c r="AK237" s="47"/>
      <c r="AL237" s="48"/>
      <c r="AM237" s="46">
        <v>763.56</v>
      </c>
      <c r="AN237" s="47"/>
      <c r="AO237" s="47"/>
      <c r="AP237" s="47"/>
      <c r="AQ237" s="48"/>
      <c r="AR237" s="105">
        <v>752.24</v>
      </c>
      <c r="AS237" s="47"/>
      <c r="AT237" s="47"/>
      <c r="AU237" s="47"/>
      <c r="AV237" s="48"/>
      <c r="AW237" s="79"/>
      <c r="AX237" s="47"/>
      <c r="AY237" s="47"/>
      <c r="AZ237" s="47"/>
      <c r="BA237" s="48"/>
      <c r="BB237" s="80"/>
      <c r="BC237" s="47"/>
      <c r="BD237" s="47"/>
      <c r="BE237" s="47"/>
      <c r="BF237" s="47"/>
      <c r="BG237" s="81"/>
      <c r="BH237" s="47"/>
      <c r="BI237" s="47"/>
      <c r="BJ237" s="47"/>
      <c r="BK237" s="56"/>
    </row>
    <row r="238" ht="21.0" customHeight="1">
      <c r="A238" s="78"/>
      <c r="B238" s="44" t="s">
        <v>211</v>
      </c>
      <c r="C238" s="44" t="s">
        <v>379</v>
      </c>
      <c r="D238" s="45">
        <v>45187.0</v>
      </c>
      <c r="E238" s="45">
        <v>45188.0</v>
      </c>
      <c r="F238" s="44" t="s">
        <v>412</v>
      </c>
      <c r="G238" s="44" t="s">
        <v>187</v>
      </c>
      <c r="H238" s="44" t="s">
        <v>27</v>
      </c>
      <c r="I238" s="60"/>
      <c r="J238" s="47"/>
      <c r="K238" s="47"/>
      <c r="L238" s="47"/>
      <c r="M238" s="48"/>
      <c r="N238" s="61"/>
      <c r="O238" s="47"/>
      <c r="P238" s="47"/>
      <c r="Q238" s="47"/>
      <c r="R238" s="48"/>
      <c r="S238" s="50"/>
      <c r="T238" s="47"/>
      <c r="U238" s="47"/>
      <c r="V238" s="47"/>
      <c r="W238" s="48"/>
      <c r="X238" s="52"/>
      <c r="Y238" s="47"/>
      <c r="Z238" s="47"/>
      <c r="AA238" s="47"/>
      <c r="AB238" s="48"/>
      <c r="AC238" s="50"/>
      <c r="AD238" s="47"/>
      <c r="AE238" s="47"/>
      <c r="AF238" s="47"/>
      <c r="AG238" s="48"/>
      <c r="AH238" s="52"/>
      <c r="AI238" s="47"/>
      <c r="AJ238" s="47"/>
      <c r="AK238" s="47"/>
      <c r="AL238" s="48"/>
      <c r="AM238" s="46">
        <v>654.74</v>
      </c>
      <c r="AN238" s="47"/>
      <c r="AO238" s="47"/>
      <c r="AP238" s="47"/>
      <c r="AQ238" s="48"/>
      <c r="AR238" s="105">
        <v>717.24</v>
      </c>
      <c r="AS238" s="47"/>
      <c r="AT238" s="47"/>
      <c r="AU238" s="47"/>
      <c r="AV238" s="48"/>
      <c r="AW238" s="79"/>
      <c r="AX238" s="47"/>
      <c r="AY238" s="47"/>
      <c r="AZ238" s="47"/>
      <c r="BA238" s="48"/>
      <c r="BB238" s="80"/>
      <c r="BC238" s="47"/>
      <c r="BD238" s="47"/>
      <c r="BE238" s="47"/>
      <c r="BF238" s="47"/>
      <c r="BG238" s="81"/>
      <c r="BH238" s="47"/>
      <c r="BI238" s="47"/>
      <c r="BJ238" s="47"/>
      <c r="BK238" s="56"/>
    </row>
    <row r="239" ht="21.0" customHeight="1">
      <c r="A239" s="78"/>
      <c r="B239" s="119" t="s">
        <v>132</v>
      </c>
      <c r="C239" s="119" t="s">
        <v>299</v>
      </c>
      <c r="D239" s="120">
        <v>45187.0</v>
      </c>
      <c r="E239" s="120">
        <v>45191.0</v>
      </c>
      <c r="F239" s="119" t="s">
        <v>88</v>
      </c>
      <c r="G239" s="119" t="s">
        <v>26</v>
      </c>
      <c r="H239" s="121" t="s">
        <v>21</v>
      </c>
      <c r="I239" s="60"/>
      <c r="J239" s="47"/>
      <c r="K239" s="47"/>
      <c r="L239" s="47"/>
      <c r="M239" s="48"/>
      <c r="N239" s="61"/>
      <c r="O239" s="47"/>
      <c r="P239" s="47"/>
      <c r="Q239" s="47"/>
      <c r="R239" s="48"/>
      <c r="S239" s="50"/>
      <c r="T239" s="47"/>
      <c r="U239" s="47"/>
      <c r="V239" s="47"/>
      <c r="W239" s="48"/>
      <c r="X239" s="52"/>
      <c r="Y239" s="47"/>
      <c r="Z239" s="47"/>
      <c r="AA239" s="47"/>
      <c r="AB239" s="48"/>
      <c r="AC239" s="50"/>
      <c r="AD239" s="47"/>
      <c r="AE239" s="47"/>
      <c r="AF239" s="47"/>
      <c r="AG239" s="48"/>
      <c r="AH239" s="52"/>
      <c r="AI239" s="47"/>
      <c r="AJ239" s="47"/>
      <c r="AK239" s="47"/>
      <c r="AL239" s="48"/>
      <c r="AM239" s="46">
        <v>2394.67</v>
      </c>
      <c r="AN239" s="47"/>
      <c r="AO239" s="47"/>
      <c r="AP239" s="47"/>
      <c r="AQ239" s="48"/>
      <c r="AR239" s="69">
        <v>2043.84</v>
      </c>
      <c r="AS239" s="47"/>
      <c r="AT239" s="47"/>
      <c r="AU239" s="47"/>
      <c r="AV239" s="48"/>
      <c r="AW239" s="79"/>
      <c r="AX239" s="47"/>
      <c r="AY239" s="47"/>
      <c r="AZ239" s="47"/>
      <c r="BA239" s="48"/>
      <c r="BB239" s="80"/>
      <c r="BC239" s="47"/>
      <c r="BD239" s="47"/>
      <c r="BE239" s="47"/>
      <c r="BF239" s="47"/>
      <c r="BG239" s="81"/>
      <c r="BH239" s="47"/>
      <c r="BI239" s="47"/>
      <c r="BJ239" s="47"/>
      <c r="BK239" s="56"/>
    </row>
    <row r="240" ht="21.0" customHeight="1">
      <c r="A240" s="78"/>
      <c r="B240" s="44" t="s">
        <v>129</v>
      </c>
      <c r="C240" s="44" t="s">
        <v>52</v>
      </c>
      <c r="D240" s="45">
        <v>45187.0</v>
      </c>
      <c r="E240" s="45">
        <v>45191.0</v>
      </c>
      <c r="F240" s="44" t="s">
        <v>88</v>
      </c>
      <c r="G240" s="44" t="s">
        <v>26</v>
      </c>
      <c r="H240" s="57" t="s">
        <v>21</v>
      </c>
      <c r="I240" s="50"/>
      <c r="J240" s="47"/>
      <c r="K240" s="47"/>
      <c r="L240" s="47"/>
      <c r="M240" s="48"/>
      <c r="N240" s="51"/>
      <c r="O240" s="47"/>
      <c r="P240" s="47"/>
      <c r="Q240" s="47"/>
      <c r="R240" s="48"/>
      <c r="S240" s="50"/>
      <c r="T240" s="47"/>
      <c r="U240" s="47"/>
      <c r="V240" s="47"/>
      <c r="W240" s="48"/>
      <c r="X240" s="61"/>
      <c r="Y240" s="47"/>
      <c r="Z240" s="47"/>
      <c r="AA240" s="47"/>
      <c r="AB240" s="48"/>
      <c r="AC240" s="50"/>
      <c r="AD240" s="47"/>
      <c r="AE240" s="47"/>
      <c r="AF240" s="47"/>
      <c r="AG240" s="48"/>
      <c r="AH240" s="52"/>
      <c r="AI240" s="47"/>
      <c r="AJ240" s="47"/>
      <c r="AK240" s="47"/>
      <c r="AL240" s="48"/>
      <c r="AM240" s="46">
        <v>2279.47</v>
      </c>
      <c r="AN240" s="47"/>
      <c r="AO240" s="47"/>
      <c r="AP240" s="47"/>
      <c r="AQ240" s="48"/>
      <c r="AR240" s="69">
        <v>2344.14</v>
      </c>
      <c r="AS240" s="47"/>
      <c r="AT240" s="47"/>
      <c r="AU240" s="47"/>
      <c r="AV240" s="48"/>
      <c r="AW240" s="79"/>
      <c r="AX240" s="47"/>
      <c r="AY240" s="47"/>
      <c r="AZ240" s="47"/>
      <c r="BA240" s="48"/>
      <c r="BB240" s="80"/>
      <c r="BC240" s="47"/>
      <c r="BD240" s="47"/>
      <c r="BE240" s="47"/>
      <c r="BF240" s="47"/>
      <c r="BG240" s="81"/>
      <c r="BH240" s="47"/>
      <c r="BI240" s="47"/>
      <c r="BJ240" s="47"/>
      <c r="BK240" s="56"/>
    </row>
    <row r="241" ht="21.0" customHeight="1">
      <c r="A241" s="78"/>
      <c r="B241" s="44" t="s">
        <v>110</v>
      </c>
      <c r="C241" s="44" t="s">
        <v>145</v>
      </c>
      <c r="D241" s="45">
        <v>45180.0</v>
      </c>
      <c r="E241" s="45">
        <v>45182.0</v>
      </c>
      <c r="F241" s="44" t="s">
        <v>284</v>
      </c>
      <c r="G241" s="44" t="s">
        <v>59</v>
      </c>
      <c r="H241" s="44" t="s">
        <v>27</v>
      </c>
      <c r="I241" s="60"/>
      <c r="J241" s="47"/>
      <c r="K241" s="47"/>
      <c r="L241" s="47"/>
      <c r="M241" s="48"/>
      <c r="N241" s="61"/>
      <c r="O241" s="47"/>
      <c r="P241" s="47"/>
      <c r="Q241" s="47"/>
      <c r="R241" s="48"/>
      <c r="S241" s="50"/>
      <c r="T241" s="47"/>
      <c r="U241" s="47"/>
      <c r="V241" s="47"/>
      <c r="W241" s="48"/>
      <c r="X241" s="51"/>
      <c r="Y241" s="47"/>
      <c r="Z241" s="47"/>
      <c r="AA241" s="47"/>
      <c r="AB241" s="48"/>
      <c r="AC241" s="50"/>
      <c r="AD241" s="47"/>
      <c r="AE241" s="47"/>
      <c r="AF241" s="47"/>
      <c r="AG241" s="48"/>
      <c r="AH241" s="52"/>
      <c r="AI241" s="47"/>
      <c r="AJ241" s="47"/>
      <c r="AK241" s="47"/>
      <c r="AL241" s="48"/>
      <c r="AM241" s="106">
        <v>737.78</v>
      </c>
      <c r="AN241" s="47"/>
      <c r="AO241" s="47"/>
      <c r="AP241" s="47"/>
      <c r="AQ241" s="48"/>
      <c r="AR241" s="82">
        <v>717.78</v>
      </c>
      <c r="AS241" s="47"/>
      <c r="AT241" s="47"/>
      <c r="AU241" s="47"/>
      <c r="AV241" s="48"/>
      <c r="AW241" s="79"/>
      <c r="AX241" s="47"/>
      <c r="AY241" s="47"/>
      <c r="AZ241" s="47"/>
      <c r="BA241" s="48"/>
      <c r="BB241" s="80"/>
      <c r="BC241" s="47"/>
      <c r="BD241" s="47"/>
      <c r="BE241" s="47"/>
      <c r="BF241" s="47"/>
      <c r="BG241" s="81"/>
      <c r="BH241" s="47"/>
      <c r="BI241" s="47"/>
      <c r="BJ241" s="47"/>
      <c r="BK241" s="56"/>
    </row>
    <row r="242" ht="21.0" customHeight="1">
      <c r="A242" s="78"/>
      <c r="B242" s="44" t="s">
        <v>314</v>
      </c>
      <c r="C242" s="44" t="s">
        <v>145</v>
      </c>
      <c r="D242" s="45">
        <v>45179.0</v>
      </c>
      <c r="E242" s="45">
        <v>45182.0</v>
      </c>
      <c r="F242" s="44" t="s">
        <v>284</v>
      </c>
      <c r="G242" s="44" t="s">
        <v>59</v>
      </c>
      <c r="H242" s="44" t="s">
        <v>27</v>
      </c>
      <c r="I242" s="60"/>
      <c r="J242" s="47"/>
      <c r="K242" s="47"/>
      <c r="L242" s="47"/>
      <c r="M242" s="48"/>
      <c r="N242" s="61"/>
      <c r="O242" s="47"/>
      <c r="P242" s="47"/>
      <c r="Q242" s="47"/>
      <c r="R242" s="48"/>
      <c r="S242" s="50"/>
      <c r="T242" s="47"/>
      <c r="U242" s="47"/>
      <c r="V242" s="47"/>
      <c r="W242" s="48"/>
      <c r="X242" s="51"/>
      <c r="Y242" s="47"/>
      <c r="Z242" s="47"/>
      <c r="AA242" s="47"/>
      <c r="AB242" s="48"/>
      <c r="AC242" s="50"/>
      <c r="AD242" s="47"/>
      <c r="AE242" s="47"/>
      <c r="AF242" s="47"/>
      <c r="AG242" s="48"/>
      <c r="AH242" s="52"/>
      <c r="AI242" s="47"/>
      <c r="AJ242" s="47"/>
      <c r="AK242" s="47"/>
      <c r="AL242" s="48"/>
      <c r="AM242" s="106">
        <v>1036.74</v>
      </c>
      <c r="AN242" s="47"/>
      <c r="AO242" s="47"/>
      <c r="AP242" s="47"/>
      <c r="AQ242" s="48"/>
      <c r="AR242" s="82">
        <v>1283.65</v>
      </c>
      <c r="AS242" s="47"/>
      <c r="AT242" s="47"/>
      <c r="AU242" s="47"/>
      <c r="AV242" s="48"/>
      <c r="AW242" s="79"/>
      <c r="AX242" s="47"/>
      <c r="AY242" s="47"/>
      <c r="AZ242" s="47"/>
      <c r="BA242" s="48"/>
      <c r="BB242" s="80"/>
      <c r="BC242" s="47"/>
      <c r="BD242" s="47"/>
      <c r="BE242" s="47"/>
      <c r="BF242" s="47"/>
      <c r="BG242" s="81"/>
      <c r="BH242" s="47"/>
      <c r="BI242" s="47"/>
      <c r="BJ242" s="47"/>
      <c r="BK242" s="56"/>
    </row>
    <row r="243" ht="21.0" customHeight="1">
      <c r="A243" s="78"/>
      <c r="B243" s="44" t="s">
        <v>304</v>
      </c>
      <c r="C243" s="44" t="s">
        <v>145</v>
      </c>
      <c r="D243" s="139">
        <v>45180.0</v>
      </c>
      <c r="E243" s="45">
        <v>45182.0</v>
      </c>
      <c r="F243" s="44" t="s">
        <v>284</v>
      </c>
      <c r="G243" s="44" t="s">
        <v>59</v>
      </c>
      <c r="H243" s="44" t="s">
        <v>27</v>
      </c>
      <c r="I243" s="140"/>
      <c r="J243" s="47"/>
      <c r="K243" s="47"/>
      <c r="L243" s="47"/>
      <c r="M243" s="48"/>
      <c r="N243" s="141"/>
      <c r="O243" s="47"/>
      <c r="P243" s="47"/>
      <c r="Q243" s="47"/>
      <c r="R243" s="48"/>
      <c r="S243" s="142"/>
      <c r="T243" s="47"/>
      <c r="U243" s="47"/>
      <c r="V243" s="47"/>
      <c r="W243" s="48"/>
      <c r="X243" s="143"/>
      <c r="Y243" s="47"/>
      <c r="Z243" s="47"/>
      <c r="AA243" s="47"/>
      <c r="AB243" s="48"/>
      <c r="AC243" s="50"/>
      <c r="AD243" s="47"/>
      <c r="AE243" s="47"/>
      <c r="AF243" s="47"/>
      <c r="AG243" s="48"/>
      <c r="AH243" s="52"/>
      <c r="AI243" s="47"/>
      <c r="AJ243" s="47"/>
      <c r="AK243" s="47"/>
      <c r="AL243" s="48"/>
      <c r="AM243" s="106">
        <v>796.6</v>
      </c>
      <c r="AN243" s="47"/>
      <c r="AO243" s="47"/>
      <c r="AP243" s="47"/>
      <c r="AQ243" s="48"/>
      <c r="AR243" s="82">
        <v>893.06</v>
      </c>
      <c r="AS243" s="47"/>
      <c r="AT243" s="47"/>
      <c r="AU243" s="47"/>
      <c r="AV243" s="48"/>
      <c r="AW243" s="79"/>
      <c r="AX243" s="47"/>
      <c r="AY243" s="47"/>
      <c r="AZ243" s="47"/>
      <c r="BA243" s="48"/>
      <c r="BB243" s="80"/>
      <c r="BC243" s="47"/>
      <c r="BD243" s="47"/>
      <c r="BE243" s="47"/>
      <c r="BF243" s="47"/>
      <c r="BG243" s="81"/>
      <c r="BH243" s="47"/>
      <c r="BI243" s="47"/>
      <c r="BJ243" s="47"/>
      <c r="BK243" s="56"/>
    </row>
    <row r="244" ht="21.0" customHeight="1">
      <c r="A244" s="78"/>
      <c r="B244" s="44" t="s">
        <v>90</v>
      </c>
      <c r="C244" s="44" t="s">
        <v>81</v>
      </c>
      <c r="D244" s="45">
        <v>45180.0</v>
      </c>
      <c r="E244" s="45">
        <v>45182.0</v>
      </c>
      <c r="F244" s="44" t="s">
        <v>91</v>
      </c>
      <c r="G244" s="44" t="s">
        <v>92</v>
      </c>
      <c r="H244" s="44" t="s">
        <v>21</v>
      </c>
      <c r="I244" s="60"/>
      <c r="J244" s="47"/>
      <c r="K244" s="47"/>
      <c r="L244" s="47"/>
      <c r="M244" s="48"/>
      <c r="N244" s="61"/>
      <c r="O244" s="47"/>
      <c r="P244" s="47"/>
      <c r="Q244" s="47"/>
      <c r="R244" s="48"/>
      <c r="S244" s="50"/>
      <c r="T244" s="47"/>
      <c r="U244" s="47"/>
      <c r="V244" s="47"/>
      <c r="W244" s="48"/>
      <c r="X244" s="51"/>
      <c r="Y244" s="47"/>
      <c r="Z244" s="47"/>
      <c r="AA244" s="47"/>
      <c r="AB244" s="48"/>
      <c r="AC244" s="50"/>
      <c r="AD244" s="47"/>
      <c r="AE244" s="47"/>
      <c r="AF244" s="47"/>
      <c r="AG244" s="48"/>
      <c r="AH244" s="51"/>
      <c r="AI244" s="47"/>
      <c r="AJ244" s="47"/>
      <c r="AK244" s="47"/>
      <c r="AL244" s="48"/>
      <c r="AM244" s="46">
        <v>942.08</v>
      </c>
      <c r="AN244" s="47"/>
      <c r="AO244" s="47"/>
      <c r="AP244" s="47"/>
      <c r="AQ244" s="48"/>
      <c r="AR244" s="49">
        <v>1109.44</v>
      </c>
      <c r="AS244" s="47"/>
      <c r="AT244" s="47"/>
      <c r="AU244" s="47"/>
      <c r="AV244" s="48"/>
      <c r="AW244" s="79"/>
      <c r="AX244" s="47"/>
      <c r="AY244" s="47"/>
      <c r="AZ244" s="47"/>
      <c r="BA244" s="48"/>
      <c r="BB244" s="80"/>
      <c r="BC244" s="47"/>
      <c r="BD244" s="47"/>
      <c r="BE244" s="47"/>
      <c r="BF244" s="47"/>
      <c r="BG244" s="81"/>
      <c r="BH244" s="47"/>
      <c r="BI244" s="47"/>
      <c r="BJ244" s="47"/>
      <c r="BK244" s="56"/>
    </row>
    <row r="245" ht="21.0" customHeight="1">
      <c r="A245" s="78"/>
      <c r="B245" s="44" t="s">
        <v>17</v>
      </c>
      <c r="C245" s="44" t="s">
        <v>81</v>
      </c>
      <c r="D245" s="45">
        <v>45180.0</v>
      </c>
      <c r="E245" s="45">
        <v>45184.0</v>
      </c>
      <c r="F245" s="44" t="s">
        <v>82</v>
      </c>
      <c r="G245" s="44" t="s">
        <v>26</v>
      </c>
      <c r="H245" s="44" t="s">
        <v>21</v>
      </c>
      <c r="I245" s="60"/>
      <c r="J245" s="47"/>
      <c r="K245" s="47"/>
      <c r="L245" s="47"/>
      <c r="M245" s="48"/>
      <c r="N245" s="61"/>
      <c r="O245" s="47"/>
      <c r="P245" s="47"/>
      <c r="Q245" s="47"/>
      <c r="R245" s="48"/>
      <c r="S245" s="50"/>
      <c r="T245" s="47"/>
      <c r="U245" s="47"/>
      <c r="V245" s="47"/>
      <c r="W245" s="48"/>
      <c r="X245" s="51"/>
      <c r="Y245" s="47"/>
      <c r="Z245" s="47"/>
      <c r="AA245" s="47"/>
      <c r="AB245" s="48"/>
      <c r="AC245" s="50"/>
      <c r="AD245" s="47"/>
      <c r="AE245" s="47"/>
      <c r="AF245" s="47"/>
      <c r="AG245" s="48"/>
      <c r="AH245" s="51"/>
      <c r="AI245" s="47"/>
      <c r="AJ245" s="47"/>
      <c r="AK245" s="47"/>
      <c r="AL245" s="48"/>
      <c r="AM245" s="46">
        <v>1402.4</v>
      </c>
      <c r="AN245" s="47"/>
      <c r="AO245" s="47"/>
      <c r="AP245" s="47"/>
      <c r="AQ245" s="48"/>
      <c r="AR245" s="49">
        <v>1596.68</v>
      </c>
      <c r="AS245" s="47"/>
      <c r="AT245" s="47"/>
      <c r="AU245" s="47"/>
      <c r="AV245" s="48"/>
      <c r="AW245" s="79"/>
      <c r="AX245" s="47"/>
      <c r="AY245" s="47"/>
      <c r="AZ245" s="47"/>
      <c r="BA245" s="48"/>
      <c r="BB245" s="80"/>
      <c r="BC245" s="47"/>
      <c r="BD245" s="47"/>
      <c r="BE245" s="47"/>
      <c r="BF245" s="47"/>
      <c r="BG245" s="81"/>
      <c r="BH245" s="47"/>
      <c r="BI245" s="47"/>
      <c r="BJ245" s="47"/>
      <c r="BK245" s="56"/>
    </row>
    <row r="246" ht="21.0" customHeight="1">
      <c r="A246" s="78"/>
      <c r="B246" s="44" t="s">
        <v>28</v>
      </c>
      <c r="C246" s="44" t="s">
        <v>87</v>
      </c>
      <c r="D246" s="45">
        <v>45187.0</v>
      </c>
      <c r="E246" s="45">
        <v>45191.0</v>
      </c>
      <c r="F246" s="44" t="s">
        <v>88</v>
      </c>
      <c r="G246" s="44" t="s">
        <v>26</v>
      </c>
      <c r="H246" s="44" t="s">
        <v>21</v>
      </c>
      <c r="I246" s="60"/>
      <c r="J246" s="47"/>
      <c r="K246" s="47"/>
      <c r="L246" s="47"/>
      <c r="M246" s="48"/>
      <c r="N246" s="61"/>
      <c r="O246" s="47"/>
      <c r="P246" s="47"/>
      <c r="Q246" s="47"/>
      <c r="R246" s="48"/>
      <c r="S246" s="50"/>
      <c r="T246" s="47"/>
      <c r="U246" s="47"/>
      <c r="V246" s="47"/>
      <c r="W246" s="48"/>
      <c r="X246" s="51"/>
      <c r="Y246" s="47"/>
      <c r="Z246" s="47"/>
      <c r="AA246" s="47"/>
      <c r="AB246" s="48"/>
      <c r="AC246" s="50"/>
      <c r="AD246" s="47"/>
      <c r="AE246" s="47"/>
      <c r="AF246" s="47"/>
      <c r="AG246" s="48"/>
      <c r="AH246" s="51"/>
      <c r="AI246" s="47"/>
      <c r="AJ246" s="47"/>
      <c r="AK246" s="47"/>
      <c r="AL246" s="48"/>
      <c r="AM246" s="46">
        <v>2607.47</v>
      </c>
      <c r="AN246" s="47"/>
      <c r="AO246" s="47"/>
      <c r="AP246" s="47"/>
      <c r="AQ246" s="48"/>
      <c r="AR246" s="49">
        <v>2657.72</v>
      </c>
      <c r="AS246" s="47"/>
      <c r="AT246" s="47"/>
      <c r="AU246" s="47"/>
      <c r="AV246" s="48"/>
      <c r="AW246" s="79"/>
      <c r="AX246" s="47"/>
      <c r="AY246" s="47"/>
      <c r="AZ246" s="47"/>
      <c r="BA246" s="48"/>
      <c r="BB246" s="80"/>
      <c r="BC246" s="47"/>
      <c r="BD246" s="47"/>
      <c r="BE246" s="47"/>
      <c r="BF246" s="47"/>
      <c r="BG246" s="81"/>
      <c r="BH246" s="47"/>
      <c r="BI246" s="47"/>
      <c r="BJ246" s="47"/>
      <c r="BK246" s="56"/>
    </row>
    <row r="247" ht="21.0" customHeight="1">
      <c r="A247" s="78"/>
      <c r="B247" s="44" t="s">
        <v>185</v>
      </c>
      <c r="C247" s="44" t="s">
        <v>413</v>
      </c>
      <c r="D247" s="45">
        <v>45193.0</v>
      </c>
      <c r="E247" s="45">
        <v>45197.0</v>
      </c>
      <c r="F247" s="44" t="s">
        <v>414</v>
      </c>
      <c r="G247" s="44" t="s">
        <v>187</v>
      </c>
      <c r="H247" s="44" t="s">
        <v>27</v>
      </c>
      <c r="I247" s="60"/>
      <c r="J247" s="47"/>
      <c r="K247" s="47"/>
      <c r="L247" s="47"/>
      <c r="M247" s="48"/>
      <c r="N247" s="61"/>
      <c r="O247" s="47"/>
      <c r="P247" s="47"/>
      <c r="Q247" s="47"/>
      <c r="R247" s="48"/>
      <c r="S247" s="50"/>
      <c r="T247" s="47"/>
      <c r="U247" s="47"/>
      <c r="V247" s="47"/>
      <c r="W247" s="48"/>
      <c r="X247" s="52"/>
      <c r="Y247" s="47"/>
      <c r="Z247" s="47"/>
      <c r="AA247" s="47"/>
      <c r="AB247" s="48"/>
      <c r="AC247" s="50"/>
      <c r="AD247" s="47"/>
      <c r="AE247" s="47"/>
      <c r="AF247" s="47"/>
      <c r="AG247" s="48"/>
      <c r="AH247" s="52"/>
      <c r="AI247" s="47"/>
      <c r="AJ247" s="47"/>
      <c r="AK247" s="47"/>
      <c r="AL247" s="48"/>
      <c r="AM247" s="46">
        <v>2031.38</v>
      </c>
      <c r="AN247" s="47"/>
      <c r="AO247" s="47"/>
      <c r="AP247" s="47"/>
      <c r="AQ247" s="48"/>
      <c r="AR247" s="105">
        <v>2081.69</v>
      </c>
      <c r="AS247" s="47"/>
      <c r="AT247" s="47"/>
      <c r="AU247" s="47"/>
      <c r="AV247" s="48"/>
      <c r="AW247" s="79"/>
      <c r="AX247" s="47"/>
      <c r="AY247" s="47"/>
      <c r="AZ247" s="47"/>
      <c r="BA247" s="48"/>
      <c r="BB247" s="80"/>
      <c r="BC247" s="47"/>
      <c r="BD247" s="47"/>
      <c r="BE247" s="47"/>
      <c r="BF247" s="47"/>
      <c r="BG247" s="81"/>
      <c r="BH247" s="47"/>
      <c r="BI247" s="47"/>
      <c r="BJ247" s="47"/>
      <c r="BK247" s="56"/>
    </row>
    <row r="248" ht="21.0" customHeight="1">
      <c r="A248" s="78"/>
      <c r="B248" s="44" t="s">
        <v>118</v>
      </c>
      <c r="C248" s="44" t="s">
        <v>216</v>
      </c>
      <c r="D248" s="45">
        <v>45173.0</v>
      </c>
      <c r="E248" s="45">
        <v>45176.0</v>
      </c>
      <c r="F248" s="44" t="s">
        <v>32</v>
      </c>
      <c r="G248" s="44" t="s">
        <v>26</v>
      </c>
      <c r="H248" s="44" t="s">
        <v>21</v>
      </c>
      <c r="I248" s="60"/>
      <c r="J248" s="47"/>
      <c r="K248" s="47"/>
      <c r="L248" s="47"/>
      <c r="M248" s="48"/>
      <c r="N248" s="61"/>
      <c r="O248" s="47"/>
      <c r="P248" s="47"/>
      <c r="Q248" s="47"/>
      <c r="R248" s="47"/>
      <c r="S248" s="50"/>
      <c r="T248" s="47"/>
      <c r="U248" s="47"/>
      <c r="V248" s="47"/>
      <c r="W248" s="48"/>
      <c r="X248" s="61"/>
      <c r="Y248" s="47"/>
      <c r="Z248" s="47"/>
      <c r="AA248" s="47"/>
      <c r="AB248" s="48"/>
      <c r="AC248" s="50"/>
      <c r="AD248" s="47"/>
      <c r="AE248" s="47"/>
      <c r="AF248" s="47"/>
      <c r="AG248" s="48"/>
      <c r="AH248" s="51"/>
      <c r="AI248" s="47"/>
      <c r="AJ248" s="47"/>
      <c r="AK248" s="47"/>
      <c r="AL248" s="48"/>
      <c r="AM248" s="46">
        <v>1898.07</v>
      </c>
      <c r="AN248" s="47"/>
      <c r="AO248" s="47"/>
      <c r="AP248" s="47"/>
      <c r="AQ248" s="48"/>
      <c r="AR248" s="87"/>
      <c r="AS248" s="47"/>
      <c r="AT248" s="47"/>
      <c r="AU248" s="47"/>
      <c r="AV248" s="47"/>
      <c r="AW248" s="79"/>
      <c r="AX248" s="47"/>
      <c r="AY248" s="47"/>
      <c r="AZ248" s="47"/>
      <c r="BA248" s="48"/>
      <c r="BB248" s="80"/>
      <c r="BC248" s="47"/>
      <c r="BD248" s="47"/>
      <c r="BE248" s="47"/>
      <c r="BF248" s="47"/>
      <c r="BG248" s="81"/>
      <c r="BH248" s="47"/>
      <c r="BI248" s="47"/>
      <c r="BJ248" s="47"/>
      <c r="BK248" s="56"/>
    </row>
    <row r="249" ht="21.0" customHeight="1">
      <c r="A249" s="78"/>
      <c r="B249" s="44" t="s">
        <v>57</v>
      </c>
      <c r="C249" s="44" t="s">
        <v>131</v>
      </c>
      <c r="D249" s="45">
        <v>45187.0</v>
      </c>
      <c r="E249" s="45">
        <v>45195.0</v>
      </c>
      <c r="F249" s="44" t="s">
        <v>88</v>
      </c>
      <c r="G249" s="44" t="s">
        <v>26</v>
      </c>
      <c r="H249" s="57" t="s">
        <v>21</v>
      </c>
      <c r="I249" s="50"/>
      <c r="J249" s="47"/>
      <c r="K249" s="47"/>
      <c r="L249" s="47"/>
      <c r="M249" s="48"/>
      <c r="N249" s="61"/>
      <c r="O249" s="47"/>
      <c r="P249" s="47"/>
      <c r="Q249" s="47"/>
      <c r="R249" s="48"/>
      <c r="S249" s="91"/>
      <c r="T249" s="47"/>
      <c r="U249" s="47"/>
      <c r="V249" s="47"/>
      <c r="W249" s="48"/>
      <c r="X249" s="51"/>
      <c r="Y249" s="47"/>
      <c r="Z249" s="47"/>
      <c r="AA249" s="47"/>
      <c r="AB249" s="48"/>
      <c r="AC249" s="91"/>
      <c r="AD249" s="47"/>
      <c r="AE249" s="47"/>
      <c r="AF249" s="47"/>
      <c r="AG249" s="48"/>
      <c r="AH249" s="51"/>
      <c r="AI249" s="47"/>
      <c r="AJ249" s="47"/>
      <c r="AK249" s="47"/>
      <c r="AL249" s="48"/>
      <c r="AM249" s="106">
        <v>2239.47</v>
      </c>
      <c r="AN249" s="47"/>
      <c r="AO249" s="47"/>
      <c r="AP249" s="47"/>
      <c r="AQ249" s="48"/>
      <c r="AR249" s="69">
        <v>2145.19</v>
      </c>
      <c r="AS249" s="47"/>
      <c r="AT249" s="47"/>
      <c r="AU249" s="47"/>
      <c r="AV249" s="48"/>
      <c r="AW249" s="79"/>
      <c r="AX249" s="47"/>
      <c r="AY249" s="47"/>
      <c r="AZ249" s="47"/>
      <c r="BA249" s="48"/>
      <c r="BB249" s="80"/>
      <c r="BC249" s="47"/>
      <c r="BD249" s="47"/>
      <c r="BE249" s="47"/>
      <c r="BF249" s="47"/>
      <c r="BG249" s="81"/>
      <c r="BH249" s="47"/>
      <c r="BI249" s="47"/>
      <c r="BJ249" s="47"/>
      <c r="BK249" s="56"/>
    </row>
    <row r="250" ht="21.0" customHeight="1">
      <c r="A250" s="78"/>
      <c r="B250" s="44" t="s">
        <v>17</v>
      </c>
      <c r="C250" s="44" t="s">
        <v>79</v>
      </c>
      <c r="D250" s="45">
        <v>45195.0</v>
      </c>
      <c r="E250" s="45">
        <v>45196.0</v>
      </c>
      <c r="F250" s="44" t="s">
        <v>19</v>
      </c>
      <c r="G250" s="44" t="s">
        <v>26</v>
      </c>
      <c r="H250" s="44" t="s">
        <v>21</v>
      </c>
      <c r="I250" s="60"/>
      <c r="J250" s="47"/>
      <c r="K250" s="47"/>
      <c r="L250" s="47"/>
      <c r="M250" s="48"/>
      <c r="N250" s="61"/>
      <c r="O250" s="47"/>
      <c r="P250" s="47"/>
      <c r="Q250" s="47"/>
      <c r="R250" s="48"/>
      <c r="S250" s="50"/>
      <c r="T250" s="47"/>
      <c r="U250" s="47"/>
      <c r="V250" s="47"/>
      <c r="W250" s="48"/>
      <c r="X250" s="51"/>
      <c r="Y250" s="47"/>
      <c r="Z250" s="47"/>
      <c r="AA250" s="47"/>
      <c r="AB250" s="48"/>
      <c r="AC250" s="50"/>
      <c r="AD250" s="47"/>
      <c r="AE250" s="47"/>
      <c r="AF250" s="47"/>
      <c r="AG250" s="48"/>
      <c r="AH250" s="51"/>
      <c r="AI250" s="47"/>
      <c r="AJ250" s="47"/>
      <c r="AK250" s="47"/>
      <c r="AL250" s="48"/>
      <c r="AM250" s="46">
        <v>739.27</v>
      </c>
      <c r="AN250" s="47"/>
      <c r="AO250" s="47"/>
      <c r="AP250" s="47"/>
      <c r="AQ250" s="48"/>
      <c r="AR250" s="49">
        <v>761.12</v>
      </c>
      <c r="AS250" s="47"/>
      <c r="AT250" s="47"/>
      <c r="AU250" s="47"/>
      <c r="AV250" s="48"/>
      <c r="AW250" s="79"/>
      <c r="AX250" s="47"/>
      <c r="AY250" s="47"/>
      <c r="AZ250" s="47"/>
      <c r="BA250" s="48"/>
      <c r="BB250" s="80"/>
      <c r="BC250" s="47"/>
      <c r="BD250" s="47"/>
      <c r="BE250" s="47"/>
      <c r="BF250" s="47"/>
      <c r="BG250" s="81"/>
      <c r="BH250" s="47"/>
      <c r="BI250" s="47"/>
      <c r="BJ250" s="47"/>
      <c r="BK250" s="56"/>
    </row>
    <row r="251" ht="21.0" customHeight="1">
      <c r="A251" s="78"/>
      <c r="B251" s="44" t="s">
        <v>42</v>
      </c>
      <c r="C251" s="44" t="s">
        <v>81</v>
      </c>
      <c r="D251" s="45">
        <v>45180.0</v>
      </c>
      <c r="E251" s="45">
        <v>45184.0</v>
      </c>
      <c r="F251" s="44" t="s">
        <v>82</v>
      </c>
      <c r="G251" s="44" t="s">
        <v>26</v>
      </c>
      <c r="H251" s="44" t="s">
        <v>21</v>
      </c>
      <c r="I251" s="60"/>
      <c r="J251" s="47"/>
      <c r="K251" s="47"/>
      <c r="L251" s="47"/>
      <c r="M251" s="48"/>
      <c r="N251" s="61"/>
      <c r="O251" s="47"/>
      <c r="P251" s="47"/>
      <c r="Q251" s="47"/>
      <c r="R251" s="48"/>
      <c r="S251" s="50"/>
      <c r="T251" s="47"/>
      <c r="U251" s="47"/>
      <c r="V251" s="47"/>
      <c r="W251" s="48"/>
      <c r="X251" s="51"/>
      <c r="Y251" s="47"/>
      <c r="Z251" s="47"/>
      <c r="AA251" s="47"/>
      <c r="AB251" s="48"/>
      <c r="AC251" s="50"/>
      <c r="AD251" s="47"/>
      <c r="AE251" s="47"/>
      <c r="AF251" s="47"/>
      <c r="AG251" s="48"/>
      <c r="AH251" s="51"/>
      <c r="AI251" s="47"/>
      <c r="AJ251" s="47"/>
      <c r="AK251" s="47"/>
      <c r="AL251" s="48"/>
      <c r="AM251" s="46">
        <v>1721.29</v>
      </c>
      <c r="AN251" s="47"/>
      <c r="AO251" s="47"/>
      <c r="AP251" s="47"/>
      <c r="AQ251" s="48"/>
      <c r="AR251" s="49">
        <v>1838.03</v>
      </c>
      <c r="AS251" s="47"/>
      <c r="AT251" s="47"/>
      <c r="AU251" s="47"/>
      <c r="AV251" s="48"/>
      <c r="AW251" s="79"/>
      <c r="AX251" s="47"/>
      <c r="AY251" s="47"/>
      <c r="AZ251" s="47"/>
      <c r="BA251" s="48"/>
      <c r="BB251" s="80"/>
      <c r="BC251" s="47"/>
      <c r="BD251" s="47"/>
      <c r="BE251" s="47"/>
      <c r="BF251" s="47"/>
      <c r="BG251" s="81"/>
      <c r="BH251" s="47"/>
      <c r="BI251" s="47"/>
      <c r="BJ251" s="47"/>
      <c r="BK251" s="56"/>
    </row>
    <row r="252" ht="21.0" customHeight="1">
      <c r="A252" s="78"/>
      <c r="B252" s="44" t="s">
        <v>42</v>
      </c>
      <c r="C252" s="44" t="s">
        <v>79</v>
      </c>
      <c r="D252" s="45">
        <v>45195.0</v>
      </c>
      <c r="E252" s="45">
        <v>45196.0</v>
      </c>
      <c r="F252" s="44" t="s">
        <v>19</v>
      </c>
      <c r="G252" s="44" t="s">
        <v>26</v>
      </c>
      <c r="H252" s="44" t="s">
        <v>21</v>
      </c>
      <c r="I252" s="60"/>
      <c r="J252" s="47"/>
      <c r="K252" s="47"/>
      <c r="L252" s="47"/>
      <c r="M252" s="48"/>
      <c r="N252" s="61"/>
      <c r="O252" s="47"/>
      <c r="P252" s="47"/>
      <c r="Q252" s="47"/>
      <c r="R252" s="48"/>
      <c r="S252" s="50"/>
      <c r="T252" s="47"/>
      <c r="U252" s="47"/>
      <c r="V252" s="47"/>
      <c r="W252" s="48"/>
      <c r="X252" s="51"/>
      <c r="Y252" s="47"/>
      <c r="Z252" s="47"/>
      <c r="AA252" s="47"/>
      <c r="AB252" s="48"/>
      <c r="AC252" s="50"/>
      <c r="AD252" s="47"/>
      <c r="AE252" s="47"/>
      <c r="AF252" s="47"/>
      <c r="AG252" s="48"/>
      <c r="AH252" s="51"/>
      <c r="AI252" s="47"/>
      <c r="AJ252" s="47"/>
      <c r="AK252" s="47"/>
      <c r="AL252" s="48"/>
      <c r="AM252" s="46">
        <v>729.27</v>
      </c>
      <c r="AN252" s="47"/>
      <c r="AO252" s="47"/>
      <c r="AP252" s="47"/>
      <c r="AQ252" s="48"/>
      <c r="AR252" s="49">
        <v>784.24</v>
      </c>
      <c r="AS252" s="47"/>
      <c r="AT252" s="47"/>
      <c r="AU252" s="47"/>
      <c r="AV252" s="48"/>
      <c r="AW252" s="79"/>
      <c r="AX252" s="47"/>
      <c r="AY252" s="47"/>
      <c r="AZ252" s="47"/>
      <c r="BA252" s="48"/>
      <c r="BB252" s="80"/>
      <c r="BC252" s="47"/>
      <c r="BD252" s="47"/>
      <c r="BE252" s="47"/>
      <c r="BF252" s="47"/>
      <c r="BG252" s="81"/>
      <c r="BH252" s="47"/>
      <c r="BI252" s="47"/>
      <c r="BJ252" s="47"/>
      <c r="BK252" s="56"/>
    </row>
    <row r="253" ht="21.0" customHeight="1">
      <c r="A253" s="78"/>
      <c r="B253" s="119" t="s">
        <v>103</v>
      </c>
      <c r="C253" s="119" t="s">
        <v>301</v>
      </c>
      <c r="D253" s="120">
        <v>45113.0</v>
      </c>
      <c r="E253" s="120">
        <v>45138.0</v>
      </c>
      <c r="F253" s="119" t="s">
        <v>105</v>
      </c>
      <c r="G253" s="119" t="s">
        <v>59</v>
      </c>
      <c r="H253" s="121" t="s">
        <v>60</v>
      </c>
      <c r="I253" s="60"/>
      <c r="J253" s="47"/>
      <c r="K253" s="47"/>
      <c r="L253" s="47"/>
      <c r="M253" s="48"/>
      <c r="N253" s="61"/>
      <c r="O253" s="47"/>
      <c r="P253" s="47"/>
      <c r="Q253" s="47"/>
      <c r="R253" s="48"/>
      <c r="S253" s="50"/>
      <c r="T253" s="47"/>
      <c r="U253" s="47"/>
      <c r="V253" s="47"/>
      <c r="W253" s="48"/>
      <c r="X253" s="52"/>
      <c r="Y253" s="47"/>
      <c r="Z253" s="47"/>
      <c r="AA253" s="47"/>
      <c r="AB253" s="48"/>
      <c r="AC253" s="50"/>
      <c r="AD253" s="47"/>
      <c r="AE253" s="47"/>
      <c r="AF253" s="47"/>
      <c r="AG253" s="48"/>
      <c r="AH253" s="52"/>
      <c r="AI253" s="47"/>
      <c r="AJ253" s="47"/>
      <c r="AK253" s="47"/>
      <c r="AL253" s="48"/>
      <c r="AM253" s="46" t="s">
        <v>56</v>
      </c>
      <c r="AN253" s="47"/>
      <c r="AO253" s="47"/>
      <c r="AP253" s="47"/>
      <c r="AQ253" s="48"/>
      <c r="AR253" s="69">
        <v>31.8</v>
      </c>
      <c r="AS253" s="47"/>
      <c r="AT253" s="47"/>
      <c r="AU253" s="47"/>
      <c r="AV253" s="48"/>
      <c r="AW253" s="79"/>
      <c r="AX253" s="47"/>
      <c r="AY253" s="47"/>
      <c r="AZ253" s="47"/>
      <c r="BA253" s="48"/>
      <c r="BB253" s="80"/>
      <c r="BC253" s="47"/>
      <c r="BD253" s="47"/>
      <c r="BE253" s="47"/>
      <c r="BF253" s="47"/>
      <c r="BG253" s="81"/>
      <c r="BH253" s="47"/>
      <c r="BI253" s="47"/>
      <c r="BJ253" s="47"/>
      <c r="BK253" s="56"/>
    </row>
    <row r="254" ht="21.0" customHeight="1">
      <c r="A254" s="78"/>
      <c r="B254" s="44" t="s">
        <v>17</v>
      </c>
      <c r="C254" s="44" t="s">
        <v>95</v>
      </c>
      <c r="D254" s="45">
        <v>45125.0</v>
      </c>
      <c r="E254" s="45">
        <v>45127.0</v>
      </c>
      <c r="F254" s="44" t="s">
        <v>30</v>
      </c>
      <c r="G254" s="44" t="s">
        <v>26</v>
      </c>
      <c r="H254" s="44" t="s">
        <v>60</v>
      </c>
      <c r="I254" s="60"/>
      <c r="J254" s="47"/>
      <c r="K254" s="47"/>
      <c r="L254" s="47"/>
      <c r="M254" s="48"/>
      <c r="N254" s="61"/>
      <c r="O254" s="47"/>
      <c r="P254" s="47"/>
      <c r="Q254" s="47"/>
      <c r="R254" s="48"/>
      <c r="S254" s="50"/>
      <c r="T254" s="47"/>
      <c r="U254" s="47"/>
      <c r="V254" s="47"/>
      <c r="W254" s="48"/>
      <c r="X254" s="51"/>
      <c r="Y254" s="47"/>
      <c r="Z254" s="47"/>
      <c r="AA254" s="47"/>
      <c r="AB254" s="48"/>
      <c r="AC254" s="50"/>
      <c r="AD254" s="47"/>
      <c r="AE254" s="47"/>
      <c r="AF254" s="47"/>
      <c r="AG254" s="48"/>
      <c r="AH254" s="51"/>
      <c r="AI254" s="47"/>
      <c r="AJ254" s="47"/>
      <c r="AK254" s="47"/>
      <c r="AL254" s="48"/>
      <c r="AM254" s="46" t="s">
        <v>56</v>
      </c>
      <c r="AN254" s="47"/>
      <c r="AO254" s="47"/>
      <c r="AP254" s="47"/>
      <c r="AQ254" s="48"/>
      <c r="AR254" s="49">
        <v>85.4</v>
      </c>
      <c r="AS254" s="47"/>
      <c r="AT254" s="47"/>
      <c r="AU254" s="47"/>
      <c r="AV254" s="48"/>
      <c r="AW254" s="79"/>
      <c r="AX254" s="47"/>
      <c r="AY254" s="47"/>
      <c r="AZ254" s="47"/>
      <c r="BA254" s="48"/>
      <c r="BB254" s="80"/>
      <c r="BC254" s="47"/>
      <c r="BD254" s="47"/>
      <c r="BE254" s="47"/>
      <c r="BF254" s="47"/>
      <c r="BG254" s="81"/>
      <c r="BH254" s="47"/>
      <c r="BI254" s="47"/>
      <c r="BJ254" s="47"/>
      <c r="BK254" s="56"/>
    </row>
    <row r="255" ht="21.0" customHeight="1">
      <c r="A255" s="78"/>
      <c r="B255" s="44" t="s">
        <v>93</v>
      </c>
      <c r="C255" s="44" t="s">
        <v>217</v>
      </c>
      <c r="D255" s="45">
        <v>45139.0</v>
      </c>
      <c r="E255" s="45">
        <v>45141.0</v>
      </c>
      <c r="F255" s="44" t="s">
        <v>180</v>
      </c>
      <c r="G255" s="44" t="s">
        <v>26</v>
      </c>
      <c r="H255" s="57" t="s">
        <v>60</v>
      </c>
      <c r="I255" s="50"/>
      <c r="J255" s="47"/>
      <c r="K255" s="47"/>
      <c r="L255" s="47"/>
      <c r="M255" s="48"/>
      <c r="N255" s="61"/>
      <c r="O255" s="47"/>
      <c r="P255" s="47"/>
      <c r="Q255" s="47"/>
      <c r="R255" s="48"/>
      <c r="S255" s="50"/>
      <c r="T255" s="47"/>
      <c r="U255" s="47"/>
      <c r="V255" s="47"/>
      <c r="W255" s="48"/>
      <c r="X255" s="100"/>
      <c r="Y255" s="47"/>
      <c r="Z255" s="47"/>
      <c r="AA255" s="47"/>
      <c r="AB255" s="48"/>
      <c r="AC255" s="50"/>
      <c r="AD255" s="47"/>
      <c r="AE255" s="47"/>
      <c r="AF255" s="47"/>
      <c r="AG255" s="48"/>
      <c r="AH255" s="52"/>
      <c r="AI255" s="47"/>
      <c r="AJ255" s="47"/>
      <c r="AK255" s="47"/>
      <c r="AL255" s="48"/>
      <c r="AM255" s="46" t="s">
        <v>56</v>
      </c>
      <c r="AN255" s="47"/>
      <c r="AO255" s="47"/>
      <c r="AP255" s="47"/>
      <c r="AQ255" s="48"/>
      <c r="AR255" s="82">
        <v>99.68</v>
      </c>
      <c r="AS255" s="47"/>
      <c r="AT255" s="47"/>
      <c r="AU255" s="47"/>
      <c r="AV255" s="48"/>
      <c r="AW255" s="79"/>
      <c r="AX255" s="47"/>
      <c r="AY255" s="47"/>
      <c r="AZ255" s="47"/>
      <c r="BA255" s="48"/>
      <c r="BB255" s="80"/>
      <c r="BC255" s="47"/>
      <c r="BD255" s="47"/>
      <c r="BE255" s="47"/>
      <c r="BF255" s="47"/>
      <c r="BG255" s="81"/>
      <c r="BH255" s="47"/>
      <c r="BI255" s="47"/>
      <c r="BJ255" s="47"/>
      <c r="BK255" s="56"/>
    </row>
    <row r="256" ht="21.0" customHeight="1">
      <c r="A256" s="78"/>
      <c r="B256" s="44" t="s">
        <v>70</v>
      </c>
      <c r="C256" s="44" t="s">
        <v>134</v>
      </c>
      <c r="D256" s="45">
        <v>45139.0</v>
      </c>
      <c r="E256" s="45">
        <v>45145.0</v>
      </c>
      <c r="F256" s="44" t="s">
        <v>135</v>
      </c>
      <c r="G256" s="44" t="s">
        <v>64</v>
      </c>
      <c r="H256" s="57" t="s">
        <v>60</v>
      </c>
      <c r="I256" s="50"/>
      <c r="J256" s="47"/>
      <c r="K256" s="47"/>
      <c r="L256" s="47"/>
      <c r="M256" s="48"/>
      <c r="N256" s="61"/>
      <c r="O256" s="47"/>
      <c r="P256" s="47"/>
      <c r="Q256" s="47"/>
      <c r="R256" s="48"/>
      <c r="S256" s="50"/>
      <c r="T256" s="47"/>
      <c r="U256" s="47"/>
      <c r="V256" s="47"/>
      <c r="W256" s="48"/>
      <c r="X256" s="51"/>
      <c r="Y256" s="47"/>
      <c r="Z256" s="47"/>
      <c r="AA256" s="47"/>
      <c r="AB256" s="48"/>
      <c r="AC256" s="50"/>
      <c r="AD256" s="47"/>
      <c r="AE256" s="47"/>
      <c r="AF256" s="47"/>
      <c r="AG256" s="48"/>
      <c r="AH256" s="51"/>
      <c r="AI256" s="47"/>
      <c r="AJ256" s="47"/>
      <c r="AK256" s="47"/>
      <c r="AL256" s="48"/>
      <c r="AM256" s="46" t="s">
        <v>56</v>
      </c>
      <c r="AN256" s="47"/>
      <c r="AO256" s="47"/>
      <c r="AP256" s="47"/>
      <c r="AQ256" s="48"/>
      <c r="AR256" s="69">
        <v>147.68</v>
      </c>
      <c r="AS256" s="47"/>
      <c r="AT256" s="47"/>
      <c r="AU256" s="47"/>
      <c r="AV256" s="48"/>
      <c r="AW256" s="79"/>
      <c r="AX256" s="47"/>
      <c r="AY256" s="47"/>
      <c r="AZ256" s="47"/>
      <c r="BA256" s="48"/>
      <c r="BB256" s="80"/>
      <c r="BC256" s="47"/>
      <c r="BD256" s="47"/>
      <c r="BE256" s="47"/>
      <c r="BF256" s="47"/>
      <c r="BG256" s="81"/>
      <c r="BH256" s="47"/>
      <c r="BI256" s="47"/>
      <c r="BJ256" s="47"/>
      <c r="BK256" s="56"/>
    </row>
    <row r="257" ht="21.0" customHeight="1">
      <c r="A257" s="78"/>
      <c r="B257" s="44" t="s">
        <v>66</v>
      </c>
      <c r="C257" s="44" t="s">
        <v>134</v>
      </c>
      <c r="D257" s="45">
        <v>45139.0</v>
      </c>
      <c r="E257" s="45">
        <v>45145.0</v>
      </c>
      <c r="F257" s="44" t="s">
        <v>135</v>
      </c>
      <c r="G257" s="44" t="s">
        <v>64</v>
      </c>
      <c r="H257" s="57" t="s">
        <v>60</v>
      </c>
      <c r="I257" s="50"/>
      <c r="J257" s="47"/>
      <c r="K257" s="47"/>
      <c r="L257" s="47"/>
      <c r="M257" s="48"/>
      <c r="N257" s="61"/>
      <c r="O257" s="47"/>
      <c r="P257" s="47"/>
      <c r="Q257" s="47"/>
      <c r="R257" s="48"/>
      <c r="S257" s="50"/>
      <c r="T257" s="47"/>
      <c r="U257" s="47"/>
      <c r="V257" s="47"/>
      <c r="W257" s="48"/>
      <c r="X257" s="51"/>
      <c r="Y257" s="47"/>
      <c r="Z257" s="47"/>
      <c r="AA257" s="47"/>
      <c r="AB257" s="48"/>
      <c r="AC257" s="50"/>
      <c r="AD257" s="47"/>
      <c r="AE257" s="47"/>
      <c r="AF257" s="47"/>
      <c r="AG257" s="48"/>
      <c r="AH257" s="51"/>
      <c r="AI257" s="47"/>
      <c r="AJ257" s="47"/>
      <c r="AK257" s="47"/>
      <c r="AL257" s="48"/>
      <c r="AM257" s="46" t="s">
        <v>56</v>
      </c>
      <c r="AN257" s="47"/>
      <c r="AO257" s="47"/>
      <c r="AP257" s="47"/>
      <c r="AQ257" s="48"/>
      <c r="AR257" s="69">
        <v>184.25</v>
      </c>
      <c r="AS257" s="47"/>
      <c r="AT257" s="47"/>
      <c r="AU257" s="47"/>
      <c r="AV257" s="48"/>
      <c r="AW257" s="79"/>
      <c r="AX257" s="47"/>
      <c r="AY257" s="47"/>
      <c r="AZ257" s="47"/>
      <c r="BA257" s="48"/>
      <c r="BB257" s="80"/>
      <c r="BC257" s="47"/>
      <c r="BD257" s="47"/>
      <c r="BE257" s="47"/>
      <c r="BF257" s="47"/>
      <c r="BG257" s="81"/>
      <c r="BH257" s="47"/>
      <c r="BI257" s="47"/>
      <c r="BJ257" s="47"/>
      <c r="BK257" s="56"/>
    </row>
    <row r="258" ht="21.0" customHeight="1">
      <c r="A258" s="78"/>
      <c r="B258" s="119" t="s">
        <v>103</v>
      </c>
      <c r="C258" s="119" t="s">
        <v>301</v>
      </c>
      <c r="D258" s="120">
        <v>45141.0</v>
      </c>
      <c r="E258" s="120">
        <v>45155.0</v>
      </c>
      <c r="F258" s="119" t="s">
        <v>105</v>
      </c>
      <c r="G258" s="119" t="s">
        <v>59</v>
      </c>
      <c r="H258" s="121" t="s">
        <v>60</v>
      </c>
      <c r="I258" s="60"/>
      <c r="J258" s="47"/>
      <c r="K258" s="47"/>
      <c r="L258" s="47"/>
      <c r="M258" s="48"/>
      <c r="N258" s="61"/>
      <c r="O258" s="47"/>
      <c r="P258" s="47"/>
      <c r="Q258" s="47"/>
      <c r="R258" s="48"/>
      <c r="S258" s="50"/>
      <c r="T258" s="47"/>
      <c r="U258" s="47"/>
      <c r="V258" s="47"/>
      <c r="W258" s="48"/>
      <c r="X258" s="52"/>
      <c r="Y258" s="47"/>
      <c r="Z258" s="47"/>
      <c r="AA258" s="47"/>
      <c r="AB258" s="48"/>
      <c r="AC258" s="50"/>
      <c r="AD258" s="47"/>
      <c r="AE258" s="47"/>
      <c r="AF258" s="47"/>
      <c r="AG258" s="48"/>
      <c r="AH258" s="52"/>
      <c r="AI258" s="47"/>
      <c r="AJ258" s="47"/>
      <c r="AK258" s="47"/>
      <c r="AL258" s="48"/>
      <c r="AM258" s="46" t="s">
        <v>56</v>
      </c>
      <c r="AN258" s="47"/>
      <c r="AO258" s="47"/>
      <c r="AP258" s="47"/>
      <c r="AQ258" s="48"/>
      <c r="AR258" s="69">
        <v>31.8</v>
      </c>
      <c r="AS258" s="47"/>
      <c r="AT258" s="47"/>
      <c r="AU258" s="47"/>
      <c r="AV258" s="48"/>
      <c r="AW258" s="79"/>
      <c r="AX258" s="47"/>
      <c r="AY258" s="47"/>
      <c r="AZ258" s="47"/>
      <c r="BA258" s="48"/>
      <c r="BB258" s="80"/>
      <c r="BC258" s="47"/>
      <c r="BD258" s="47"/>
      <c r="BE258" s="47"/>
      <c r="BF258" s="47"/>
      <c r="BG258" s="81"/>
      <c r="BH258" s="47"/>
      <c r="BI258" s="47"/>
      <c r="BJ258" s="47"/>
      <c r="BK258" s="56"/>
    </row>
    <row r="259" ht="21.0" customHeight="1">
      <c r="A259" s="78"/>
      <c r="B259" s="44" t="s">
        <v>237</v>
      </c>
      <c r="C259" s="44" t="s">
        <v>382</v>
      </c>
      <c r="D259" s="45">
        <v>45160.0</v>
      </c>
      <c r="E259" s="45">
        <v>45160.0</v>
      </c>
      <c r="F259" s="44" t="s">
        <v>19</v>
      </c>
      <c r="G259" s="44" t="s">
        <v>59</v>
      </c>
      <c r="H259" s="44" t="s">
        <v>60</v>
      </c>
      <c r="I259" s="50"/>
      <c r="J259" s="47"/>
      <c r="K259" s="47"/>
      <c r="L259" s="47"/>
      <c r="M259" s="48"/>
      <c r="N259" s="52"/>
      <c r="O259" s="47"/>
      <c r="P259" s="47"/>
      <c r="Q259" s="47"/>
      <c r="R259" s="48"/>
      <c r="S259" s="50"/>
      <c r="T259" s="47"/>
      <c r="U259" s="47"/>
      <c r="V259" s="47"/>
      <c r="W259" s="48"/>
      <c r="X259" s="51"/>
      <c r="Y259" s="47"/>
      <c r="Z259" s="47"/>
      <c r="AA259" s="47"/>
      <c r="AB259" s="48"/>
      <c r="AC259" s="50"/>
      <c r="AD259" s="47"/>
      <c r="AE259" s="47"/>
      <c r="AF259" s="47"/>
      <c r="AG259" s="48"/>
      <c r="AH259" s="51"/>
      <c r="AI259" s="47"/>
      <c r="AJ259" s="47"/>
      <c r="AK259" s="47"/>
      <c r="AL259" s="48"/>
      <c r="AM259" s="46" t="s">
        <v>56</v>
      </c>
      <c r="AN259" s="47"/>
      <c r="AO259" s="47"/>
      <c r="AP259" s="47"/>
      <c r="AQ259" s="48"/>
      <c r="AR259" s="105">
        <v>47.86</v>
      </c>
      <c r="AS259" s="47"/>
      <c r="AT259" s="47"/>
      <c r="AU259" s="47"/>
      <c r="AV259" s="48"/>
      <c r="AW259" s="79"/>
      <c r="AX259" s="47"/>
      <c r="AY259" s="47"/>
      <c r="AZ259" s="47"/>
      <c r="BA259" s="48"/>
      <c r="BB259" s="80"/>
      <c r="BC259" s="47"/>
      <c r="BD259" s="47"/>
      <c r="BE259" s="47"/>
      <c r="BF259" s="47"/>
      <c r="BG259" s="81"/>
      <c r="BH259" s="47"/>
      <c r="BI259" s="47"/>
      <c r="BJ259" s="47"/>
      <c r="BK259" s="56"/>
    </row>
    <row r="260" ht="21.0" customHeight="1">
      <c r="A260" s="78"/>
      <c r="B260" s="44" t="s">
        <v>370</v>
      </c>
      <c r="C260" s="44" t="s">
        <v>382</v>
      </c>
      <c r="D260" s="45">
        <v>45160.0</v>
      </c>
      <c r="E260" s="45">
        <v>45160.0</v>
      </c>
      <c r="F260" s="44" t="s">
        <v>19</v>
      </c>
      <c r="G260" s="44" t="s">
        <v>59</v>
      </c>
      <c r="H260" s="44" t="s">
        <v>60</v>
      </c>
      <c r="I260" s="50"/>
      <c r="J260" s="47"/>
      <c r="K260" s="47"/>
      <c r="L260" s="47"/>
      <c r="M260" s="48"/>
      <c r="N260" s="52"/>
      <c r="O260" s="47"/>
      <c r="P260" s="47"/>
      <c r="Q260" s="47"/>
      <c r="R260" s="48"/>
      <c r="S260" s="50"/>
      <c r="T260" s="47"/>
      <c r="U260" s="47"/>
      <c r="V260" s="47"/>
      <c r="W260" s="48"/>
      <c r="X260" s="51"/>
      <c r="Y260" s="47"/>
      <c r="Z260" s="47"/>
      <c r="AA260" s="47"/>
      <c r="AB260" s="48"/>
      <c r="AC260" s="50"/>
      <c r="AD260" s="47"/>
      <c r="AE260" s="47"/>
      <c r="AF260" s="47"/>
      <c r="AG260" s="48"/>
      <c r="AH260" s="51"/>
      <c r="AI260" s="47"/>
      <c r="AJ260" s="47"/>
      <c r="AK260" s="47"/>
      <c r="AL260" s="48"/>
      <c r="AM260" s="46" t="s">
        <v>56</v>
      </c>
      <c r="AN260" s="47"/>
      <c r="AO260" s="47"/>
      <c r="AP260" s="47"/>
      <c r="AQ260" s="48"/>
      <c r="AR260" s="105">
        <v>36.93</v>
      </c>
      <c r="AS260" s="47"/>
      <c r="AT260" s="47"/>
      <c r="AU260" s="47"/>
      <c r="AV260" s="48"/>
      <c r="AW260" s="79"/>
      <c r="AX260" s="47"/>
      <c r="AY260" s="47"/>
      <c r="AZ260" s="47"/>
      <c r="BA260" s="48"/>
      <c r="BB260" s="80"/>
      <c r="BC260" s="47"/>
      <c r="BD260" s="47"/>
      <c r="BE260" s="47"/>
      <c r="BF260" s="47"/>
      <c r="BG260" s="81"/>
      <c r="BH260" s="47"/>
      <c r="BI260" s="47"/>
      <c r="BJ260" s="47"/>
      <c r="BK260" s="56"/>
    </row>
    <row r="261" ht="21.0" customHeight="1">
      <c r="A261" s="78"/>
      <c r="B261" s="44" t="s">
        <v>226</v>
      </c>
      <c r="C261" s="44" t="s">
        <v>382</v>
      </c>
      <c r="D261" s="45">
        <v>45160.0</v>
      </c>
      <c r="E261" s="45">
        <v>45160.0</v>
      </c>
      <c r="F261" s="44" t="s">
        <v>19</v>
      </c>
      <c r="G261" s="44" t="s">
        <v>59</v>
      </c>
      <c r="H261" s="44" t="s">
        <v>60</v>
      </c>
      <c r="I261" s="50"/>
      <c r="J261" s="47"/>
      <c r="K261" s="47"/>
      <c r="L261" s="47"/>
      <c r="M261" s="48"/>
      <c r="N261" s="52"/>
      <c r="O261" s="47"/>
      <c r="P261" s="47"/>
      <c r="Q261" s="47"/>
      <c r="R261" s="48"/>
      <c r="S261" s="50"/>
      <c r="T261" s="47"/>
      <c r="U261" s="47"/>
      <c r="V261" s="47"/>
      <c r="W261" s="48"/>
      <c r="X261" s="51"/>
      <c r="Y261" s="47"/>
      <c r="Z261" s="47"/>
      <c r="AA261" s="47"/>
      <c r="AB261" s="48"/>
      <c r="AC261" s="50"/>
      <c r="AD261" s="47"/>
      <c r="AE261" s="47"/>
      <c r="AF261" s="47"/>
      <c r="AG261" s="48"/>
      <c r="AH261" s="51"/>
      <c r="AI261" s="47"/>
      <c r="AJ261" s="47"/>
      <c r="AK261" s="47"/>
      <c r="AL261" s="48"/>
      <c r="AM261" s="46" t="s">
        <v>56</v>
      </c>
      <c r="AN261" s="47"/>
      <c r="AO261" s="47"/>
      <c r="AP261" s="47"/>
      <c r="AQ261" s="48"/>
      <c r="AR261" s="105">
        <v>50.38</v>
      </c>
      <c r="AS261" s="47"/>
      <c r="AT261" s="47"/>
      <c r="AU261" s="47"/>
      <c r="AV261" s="48"/>
      <c r="AW261" s="79"/>
      <c r="AX261" s="47"/>
      <c r="AY261" s="47"/>
      <c r="AZ261" s="47"/>
      <c r="BA261" s="48"/>
      <c r="BB261" s="80"/>
      <c r="BC261" s="47"/>
      <c r="BD261" s="47"/>
      <c r="BE261" s="47"/>
      <c r="BF261" s="47"/>
      <c r="BG261" s="81"/>
      <c r="BH261" s="47"/>
      <c r="BI261" s="47"/>
      <c r="BJ261" s="47"/>
      <c r="BK261" s="56"/>
    </row>
    <row r="262" ht="21.0" customHeight="1">
      <c r="A262" s="78"/>
      <c r="B262" s="44" t="s">
        <v>57</v>
      </c>
      <c r="C262" s="44" t="s">
        <v>136</v>
      </c>
      <c r="D262" s="45">
        <v>44972.0</v>
      </c>
      <c r="E262" s="45">
        <v>45077.0</v>
      </c>
      <c r="F262" s="44" t="s">
        <v>137</v>
      </c>
      <c r="G262" s="44" t="s">
        <v>115</v>
      </c>
      <c r="H262" s="57" t="s">
        <v>60</v>
      </c>
      <c r="I262" s="50"/>
      <c r="J262" s="47"/>
      <c r="K262" s="47"/>
      <c r="L262" s="47"/>
      <c r="M262" s="48"/>
      <c r="N262" s="61"/>
      <c r="O262" s="47"/>
      <c r="P262" s="47"/>
      <c r="Q262" s="47"/>
      <c r="R262" s="48"/>
      <c r="S262" s="50"/>
      <c r="T262" s="47"/>
      <c r="U262" s="47"/>
      <c r="V262" s="47"/>
      <c r="W262" s="48"/>
      <c r="X262" s="52"/>
      <c r="Y262" s="47"/>
      <c r="Z262" s="47"/>
      <c r="AA262" s="47"/>
      <c r="AB262" s="48"/>
      <c r="AC262" s="50"/>
      <c r="AD262" s="47"/>
      <c r="AE262" s="47"/>
      <c r="AF262" s="47"/>
      <c r="AG262" s="48"/>
      <c r="AH262" s="52"/>
      <c r="AI262" s="47"/>
      <c r="AJ262" s="47"/>
      <c r="AK262" s="47"/>
      <c r="AL262" s="48"/>
      <c r="AM262" s="46" t="s">
        <v>56</v>
      </c>
      <c r="AN262" s="47"/>
      <c r="AO262" s="47"/>
      <c r="AP262" s="47"/>
      <c r="AQ262" s="48"/>
      <c r="AR262" s="69">
        <v>94.15</v>
      </c>
      <c r="AS262" s="47"/>
      <c r="AT262" s="47"/>
      <c r="AU262" s="47"/>
      <c r="AV262" s="48"/>
      <c r="AW262" s="79"/>
      <c r="AX262" s="47"/>
      <c r="AY262" s="47"/>
      <c r="AZ262" s="47"/>
      <c r="BA262" s="48"/>
      <c r="BB262" s="80"/>
      <c r="BC262" s="47"/>
      <c r="BD262" s="47"/>
      <c r="BE262" s="47"/>
      <c r="BF262" s="47"/>
      <c r="BG262" s="81"/>
      <c r="BH262" s="47"/>
      <c r="BI262" s="47"/>
      <c r="BJ262" s="47"/>
      <c r="BK262" s="56"/>
    </row>
    <row r="263" ht="21.0" customHeight="1">
      <c r="A263" s="78"/>
      <c r="B263" s="44" t="s">
        <v>146</v>
      </c>
      <c r="C263" s="44" t="s">
        <v>270</v>
      </c>
      <c r="D263" s="45">
        <v>45196.0</v>
      </c>
      <c r="E263" s="45">
        <v>45197.0</v>
      </c>
      <c r="F263" s="44" t="s">
        <v>142</v>
      </c>
      <c r="G263" s="44" t="s">
        <v>59</v>
      </c>
      <c r="H263" s="57" t="s">
        <v>60</v>
      </c>
      <c r="I263" s="50"/>
      <c r="J263" s="47"/>
      <c r="K263" s="47"/>
      <c r="L263" s="47"/>
      <c r="M263" s="48"/>
      <c r="N263" s="51"/>
      <c r="O263" s="47"/>
      <c r="P263" s="47"/>
      <c r="Q263" s="47"/>
      <c r="R263" s="48"/>
      <c r="S263" s="50"/>
      <c r="T263" s="47"/>
      <c r="U263" s="47"/>
      <c r="V263" s="47"/>
      <c r="W263" s="48"/>
      <c r="X263" s="61"/>
      <c r="Y263" s="47"/>
      <c r="Z263" s="47"/>
      <c r="AA263" s="47"/>
      <c r="AB263" s="48"/>
      <c r="AC263" s="50"/>
      <c r="AD263" s="47"/>
      <c r="AE263" s="47"/>
      <c r="AF263" s="47"/>
      <c r="AG263" s="48"/>
      <c r="AH263" s="52"/>
      <c r="AI263" s="47"/>
      <c r="AJ263" s="47"/>
      <c r="AK263" s="47"/>
      <c r="AL263" s="48"/>
      <c r="AM263" s="46" t="s">
        <v>56</v>
      </c>
      <c r="AN263" s="47"/>
      <c r="AO263" s="47"/>
      <c r="AP263" s="47"/>
      <c r="AQ263" s="48"/>
      <c r="AR263" s="69">
        <v>46.8</v>
      </c>
      <c r="AS263" s="47"/>
      <c r="AT263" s="47"/>
      <c r="AU263" s="47"/>
      <c r="AV263" s="48"/>
      <c r="AW263" s="79"/>
      <c r="AX263" s="47"/>
      <c r="AY263" s="47"/>
      <c r="AZ263" s="47"/>
      <c r="BA263" s="48"/>
      <c r="BB263" s="80"/>
      <c r="BC263" s="47"/>
      <c r="BD263" s="47"/>
      <c r="BE263" s="47"/>
      <c r="BF263" s="47"/>
      <c r="BG263" s="81"/>
      <c r="BH263" s="47"/>
      <c r="BI263" s="47"/>
      <c r="BJ263" s="47"/>
      <c r="BK263" s="56"/>
    </row>
    <row r="264" ht="21.0" customHeight="1">
      <c r="A264" s="78"/>
      <c r="B264" s="242"/>
      <c r="C264" s="47"/>
      <c r="D264" s="243"/>
      <c r="E264" s="243"/>
      <c r="F264" s="47"/>
      <c r="G264" s="47"/>
      <c r="H264" s="48"/>
      <c r="I264" s="100"/>
      <c r="J264" s="47"/>
      <c r="K264" s="47"/>
      <c r="L264" s="47"/>
      <c r="M264" s="48"/>
      <c r="N264" s="61"/>
      <c r="O264" s="47"/>
      <c r="P264" s="47"/>
      <c r="Q264" s="47"/>
      <c r="R264" s="48"/>
      <c r="S264" s="50"/>
      <c r="T264" s="47"/>
      <c r="U264" s="47"/>
      <c r="V264" s="47"/>
      <c r="W264" s="48"/>
      <c r="X264" s="83"/>
      <c r="Y264" s="47"/>
      <c r="Z264" s="47"/>
      <c r="AA264" s="47"/>
      <c r="AB264" s="47"/>
      <c r="AC264" s="50"/>
      <c r="AD264" s="47"/>
      <c r="AE264" s="47"/>
      <c r="AF264" s="47"/>
      <c r="AG264" s="48"/>
      <c r="AH264" s="52"/>
      <c r="AI264" s="47"/>
      <c r="AJ264" s="47"/>
      <c r="AK264" s="47"/>
      <c r="AL264" s="48"/>
      <c r="AM264" s="50"/>
      <c r="AN264" s="47"/>
      <c r="AO264" s="47"/>
      <c r="AP264" s="47"/>
      <c r="AQ264" s="48"/>
      <c r="AR264" s="83"/>
      <c r="AS264" s="47"/>
      <c r="AT264" s="47"/>
      <c r="AU264" s="47"/>
      <c r="AV264" s="48"/>
      <c r="AW264" s="79"/>
      <c r="AX264" s="47"/>
      <c r="AY264" s="47"/>
      <c r="AZ264" s="47"/>
      <c r="BA264" s="48"/>
      <c r="BB264" s="80"/>
      <c r="BC264" s="47"/>
      <c r="BD264" s="47"/>
      <c r="BE264" s="47"/>
      <c r="BF264" s="47"/>
      <c r="BG264" s="81"/>
      <c r="BH264" s="47"/>
      <c r="BI264" s="47"/>
      <c r="BJ264" s="47"/>
      <c r="BK264" s="56"/>
    </row>
    <row r="265" ht="21.0" customHeight="1">
      <c r="A265" s="78"/>
      <c r="B265" s="92" t="s">
        <v>107</v>
      </c>
      <c r="C265" s="92" t="s">
        <v>108</v>
      </c>
      <c r="D265" s="92" t="s">
        <v>109</v>
      </c>
      <c r="E265" s="93"/>
      <c r="F265" s="92"/>
      <c r="G265" s="92"/>
      <c r="H265" s="94" t="s">
        <v>111</v>
      </c>
      <c r="I265" s="95"/>
      <c r="J265" s="36"/>
      <c r="K265" s="36"/>
      <c r="L265" s="36"/>
      <c r="M265" s="36"/>
      <c r="N265" s="96"/>
      <c r="O265" s="36"/>
      <c r="P265" s="36"/>
      <c r="Q265" s="36"/>
      <c r="R265" s="36"/>
      <c r="S265" s="95"/>
      <c r="T265" s="36"/>
      <c r="U265" s="36"/>
      <c r="V265" s="36"/>
      <c r="W265" s="36"/>
      <c r="X265" s="96"/>
      <c r="Y265" s="36"/>
      <c r="Z265" s="36"/>
      <c r="AA265" s="36"/>
      <c r="AB265" s="36"/>
      <c r="AC265" s="96"/>
      <c r="AD265" s="36"/>
      <c r="AE265" s="36"/>
      <c r="AF265" s="36"/>
      <c r="AG265" s="36"/>
      <c r="AH265" s="96"/>
      <c r="AI265" s="36"/>
      <c r="AJ265" s="36"/>
      <c r="AK265" s="36"/>
      <c r="AL265" s="36"/>
      <c r="AM265" s="96"/>
      <c r="AN265" s="36"/>
      <c r="AO265" s="36"/>
      <c r="AP265" s="36"/>
      <c r="AQ265" s="36"/>
      <c r="AR265" s="96"/>
      <c r="AS265" s="36"/>
      <c r="AT265" s="36"/>
      <c r="AU265" s="36"/>
      <c r="AV265" s="36"/>
      <c r="AW265" s="97"/>
      <c r="AX265" s="36"/>
      <c r="AY265" s="36"/>
      <c r="AZ265" s="36"/>
      <c r="BA265" s="36"/>
      <c r="BB265" s="96"/>
      <c r="BC265" s="36"/>
      <c r="BD265" s="36"/>
      <c r="BE265" s="36"/>
      <c r="BF265" s="36"/>
      <c r="BG265" s="96"/>
      <c r="BH265" s="36"/>
      <c r="BI265" s="36"/>
      <c r="BJ265" s="36"/>
      <c r="BK265" s="42"/>
    </row>
    <row r="266" ht="21.0" customHeight="1">
      <c r="A266" s="78"/>
      <c r="B266" s="44" t="s">
        <v>144</v>
      </c>
      <c r="C266" s="44" t="s">
        <v>307</v>
      </c>
      <c r="D266" s="98">
        <v>44804.0</v>
      </c>
      <c r="E266" s="135"/>
      <c r="F266" s="44" t="s">
        <v>115</v>
      </c>
      <c r="G266" s="44" t="s">
        <v>115</v>
      </c>
      <c r="H266" s="44" t="s">
        <v>308</v>
      </c>
      <c r="I266" s="100"/>
      <c r="J266" s="100"/>
      <c r="K266" s="100"/>
      <c r="L266" s="100"/>
      <c r="M266" s="136"/>
      <c r="N266" s="137">
        <v>171.51</v>
      </c>
      <c r="O266" s="47"/>
      <c r="P266" s="47"/>
      <c r="Q266" s="47"/>
      <c r="R266" s="48"/>
      <c r="S266" s="101"/>
      <c r="T266" s="47"/>
      <c r="U266" s="47"/>
      <c r="V266" s="47"/>
      <c r="W266" s="48"/>
      <c r="X266" s="100"/>
      <c r="Y266" s="47"/>
      <c r="Z266" s="47"/>
      <c r="AA266" s="47"/>
      <c r="AB266" s="48"/>
      <c r="AC266" s="91"/>
      <c r="AD266" s="47"/>
      <c r="AE266" s="47"/>
      <c r="AF266" s="47"/>
      <c r="AG266" s="48"/>
      <c r="AH266" s="52"/>
      <c r="AI266" s="47"/>
      <c r="AJ266" s="47"/>
      <c r="AK266" s="47"/>
      <c r="AL266" s="48"/>
      <c r="AM266" s="91"/>
      <c r="AN266" s="47"/>
      <c r="AO266" s="47"/>
      <c r="AP266" s="47"/>
      <c r="AQ266" s="48"/>
      <c r="AR266" s="52"/>
      <c r="AS266" s="47"/>
      <c r="AT266" s="47"/>
      <c r="AU266" s="47"/>
      <c r="AV266" s="48"/>
      <c r="AW266" s="53"/>
      <c r="AX266" s="47"/>
      <c r="AY266" s="47"/>
      <c r="AZ266" s="47"/>
      <c r="BA266" s="48"/>
      <c r="BB266" s="54"/>
      <c r="BC266" s="47"/>
      <c r="BD266" s="47"/>
      <c r="BE266" s="47"/>
      <c r="BF266" s="48"/>
      <c r="BG266" s="55"/>
      <c r="BH266" s="47"/>
      <c r="BI266" s="47"/>
      <c r="BJ266" s="47"/>
      <c r="BK266" s="56"/>
    </row>
    <row r="267" ht="21.0" customHeight="1">
      <c r="A267" s="78"/>
      <c r="B267" s="44" t="s">
        <v>144</v>
      </c>
      <c r="C267" s="44" t="s">
        <v>309</v>
      </c>
      <c r="D267" s="98">
        <v>44854.0</v>
      </c>
      <c r="E267" s="48"/>
      <c r="F267" s="44" t="s">
        <v>115</v>
      </c>
      <c r="G267" s="44" t="s">
        <v>115</v>
      </c>
      <c r="H267" s="44" t="s">
        <v>308</v>
      </c>
      <c r="I267" s="100"/>
      <c r="J267" s="47"/>
      <c r="K267" s="47"/>
      <c r="L267" s="47"/>
      <c r="M267" s="48"/>
      <c r="N267" s="137">
        <v>226.8</v>
      </c>
      <c r="O267" s="47"/>
      <c r="P267" s="47"/>
      <c r="Q267" s="47"/>
      <c r="R267" s="48"/>
      <c r="S267" s="101"/>
      <c r="T267" s="47"/>
      <c r="U267" s="47"/>
      <c r="V267" s="47"/>
      <c r="W267" s="48"/>
      <c r="X267" s="100"/>
      <c r="Y267" s="47"/>
      <c r="Z267" s="47"/>
      <c r="AA267" s="47"/>
      <c r="AB267" s="48"/>
      <c r="AC267" s="91"/>
      <c r="AD267" s="47"/>
      <c r="AE267" s="47"/>
      <c r="AF267" s="47"/>
      <c r="AG267" s="48"/>
      <c r="AH267" s="52"/>
      <c r="AI267" s="47"/>
      <c r="AJ267" s="47"/>
      <c r="AK267" s="47"/>
      <c r="AL267" s="48"/>
      <c r="AM267" s="91"/>
      <c r="AN267" s="47"/>
      <c r="AO267" s="47"/>
      <c r="AP267" s="47"/>
      <c r="AQ267" s="48"/>
      <c r="AR267" s="52"/>
      <c r="AS267" s="47"/>
      <c r="AT267" s="47"/>
      <c r="AU267" s="47"/>
      <c r="AV267" s="48"/>
      <c r="AW267" s="53"/>
      <c r="AX267" s="47"/>
      <c r="AY267" s="47"/>
      <c r="AZ267" s="47"/>
      <c r="BA267" s="48"/>
      <c r="BB267" s="54"/>
      <c r="BC267" s="47"/>
      <c r="BD267" s="47"/>
      <c r="BE267" s="47"/>
      <c r="BF267" s="48"/>
      <c r="BG267" s="55"/>
      <c r="BH267" s="47"/>
      <c r="BI267" s="47"/>
      <c r="BJ267" s="47"/>
      <c r="BK267" s="56"/>
    </row>
    <row r="268" ht="21.0" customHeight="1">
      <c r="A268" s="78"/>
      <c r="B268" s="44" t="s">
        <v>144</v>
      </c>
      <c r="C268" s="138" t="s">
        <v>313</v>
      </c>
      <c r="D268" s="98">
        <v>44886.0</v>
      </c>
      <c r="E268" s="48"/>
      <c r="F268" s="44" t="s">
        <v>115</v>
      </c>
      <c r="G268" s="44" t="s">
        <v>115</v>
      </c>
      <c r="H268" s="44" t="s">
        <v>308</v>
      </c>
      <c r="I268" s="100"/>
      <c r="J268" s="47"/>
      <c r="K268" s="47"/>
      <c r="L268" s="47"/>
      <c r="M268" s="48"/>
      <c r="N268" s="137">
        <v>157.62</v>
      </c>
      <c r="O268" s="47"/>
      <c r="P268" s="47"/>
      <c r="Q268" s="47"/>
      <c r="R268" s="48"/>
      <c r="S268" s="101"/>
      <c r="T268" s="47"/>
      <c r="U268" s="47"/>
      <c r="V268" s="47"/>
      <c r="W268" s="48"/>
      <c r="X268" s="100"/>
      <c r="Y268" s="47"/>
      <c r="Z268" s="47"/>
      <c r="AA268" s="47"/>
      <c r="AB268" s="48"/>
      <c r="AC268" s="91"/>
      <c r="AD268" s="47"/>
      <c r="AE268" s="47"/>
      <c r="AF268" s="47"/>
      <c r="AG268" s="48"/>
      <c r="AH268" s="52"/>
      <c r="AI268" s="47"/>
      <c r="AJ268" s="47"/>
      <c r="AK268" s="47"/>
      <c r="AL268" s="48"/>
      <c r="AM268" s="91"/>
      <c r="AN268" s="47"/>
      <c r="AO268" s="47"/>
      <c r="AP268" s="47"/>
      <c r="AQ268" s="48"/>
      <c r="AR268" s="52"/>
      <c r="AS268" s="47"/>
      <c r="AT268" s="47"/>
      <c r="AU268" s="47"/>
      <c r="AV268" s="48"/>
      <c r="AW268" s="53"/>
      <c r="AX268" s="47"/>
      <c r="AY268" s="47"/>
      <c r="AZ268" s="47"/>
      <c r="BA268" s="48"/>
      <c r="BB268" s="54"/>
      <c r="BC268" s="47"/>
      <c r="BD268" s="47"/>
      <c r="BE268" s="47"/>
      <c r="BF268" s="48"/>
      <c r="BG268" s="55"/>
      <c r="BH268" s="47"/>
      <c r="BI268" s="47"/>
      <c r="BJ268" s="47"/>
      <c r="BK268" s="56"/>
    </row>
    <row r="269" ht="21.0" customHeight="1">
      <c r="A269" s="78"/>
      <c r="B269" s="44" t="s">
        <v>113</v>
      </c>
      <c r="C269" s="44" t="s">
        <v>114</v>
      </c>
      <c r="D269" s="98">
        <v>44916.0</v>
      </c>
      <c r="E269" s="48"/>
      <c r="F269" s="44" t="s">
        <v>115</v>
      </c>
      <c r="G269" s="44" t="s">
        <v>115</v>
      </c>
      <c r="H269" s="44" t="s">
        <v>116</v>
      </c>
      <c r="I269" s="99" t="s">
        <v>56</v>
      </c>
      <c r="J269" s="47"/>
      <c r="K269" s="47"/>
      <c r="L269" s="47"/>
      <c r="M269" s="48"/>
      <c r="N269" s="49">
        <v>156.8</v>
      </c>
      <c r="O269" s="47"/>
      <c r="P269" s="47"/>
      <c r="Q269" s="47"/>
      <c r="R269" s="48"/>
      <c r="S269" s="101"/>
      <c r="T269" s="47"/>
      <c r="U269" s="47"/>
      <c r="V269" s="47"/>
      <c r="W269" s="48"/>
      <c r="X269" s="137"/>
      <c r="Y269" s="47"/>
      <c r="Z269" s="47"/>
      <c r="AA269" s="47"/>
      <c r="AB269" s="48"/>
      <c r="AC269" s="91"/>
      <c r="AD269" s="47"/>
      <c r="AE269" s="47"/>
      <c r="AF269" s="47"/>
      <c r="AG269" s="48"/>
      <c r="AH269" s="52"/>
      <c r="AI269" s="47"/>
      <c r="AJ269" s="47"/>
      <c r="AK269" s="47"/>
      <c r="AL269" s="48"/>
      <c r="AM269" s="91"/>
      <c r="AN269" s="47"/>
      <c r="AO269" s="47"/>
      <c r="AP269" s="47"/>
      <c r="AQ269" s="48"/>
      <c r="AR269" s="52"/>
      <c r="AS269" s="47"/>
      <c r="AT269" s="47"/>
      <c r="AU269" s="47"/>
      <c r="AV269" s="48"/>
      <c r="AW269" s="53"/>
      <c r="AX269" s="47"/>
      <c r="AY269" s="47"/>
      <c r="AZ269" s="47"/>
      <c r="BA269" s="48"/>
      <c r="BB269" s="54"/>
      <c r="BC269" s="47"/>
      <c r="BD269" s="47"/>
      <c r="BE269" s="47"/>
      <c r="BF269" s="48"/>
      <c r="BG269" s="55"/>
      <c r="BH269" s="47"/>
      <c r="BI269" s="47"/>
      <c r="BJ269" s="47"/>
      <c r="BK269" s="56"/>
    </row>
    <row r="270" ht="21.0" customHeight="1">
      <c r="A270" s="78"/>
      <c r="B270" s="44" t="s">
        <v>51</v>
      </c>
      <c r="C270" s="44" t="s">
        <v>316</v>
      </c>
      <c r="D270" s="98">
        <v>44959.0</v>
      </c>
      <c r="E270" s="48"/>
      <c r="F270" s="44" t="s">
        <v>115</v>
      </c>
      <c r="G270" s="44" t="s">
        <v>115</v>
      </c>
      <c r="H270" s="44" t="s">
        <v>308</v>
      </c>
      <c r="I270" s="100"/>
      <c r="J270" s="47"/>
      <c r="K270" s="47"/>
      <c r="L270" s="47"/>
      <c r="M270" s="48"/>
      <c r="N270" s="51"/>
      <c r="O270" s="47"/>
      <c r="P270" s="47"/>
      <c r="Q270" s="47"/>
      <c r="R270" s="48"/>
      <c r="S270" s="130"/>
      <c r="T270" s="47"/>
      <c r="U270" s="47"/>
      <c r="V270" s="47"/>
      <c r="W270" s="48"/>
      <c r="X270" s="69">
        <v>156.8</v>
      </c>
      <c r="Y270" s="47"/>
      <c r="Z270" s="47"/>
      <c r="AA270" s="47"/>
      <c r="AB270" s="48"/>
      <c r="AC270" s="91"/>
      <c r="AD270" s="47"/>
      <c r="AE270" s="47"/>
      <c r="AF270" s="47"/>
      <c r="AG270" s="48"/>
      <c r="AH270" s="52"/>
      <c r="AI270" s="47"/>
      <c r="AJ270" s="47"/>
      <c r="AK270" s="47"/>
      <c r="AL270" s="48"/>
      <c r="AM270" s="91"/>
      <c r="AN270" s="47"/>
      <c r="AO270" s="47"/>
      <c r="AP270" s="47"/>
      <c r="AQ270" s="48"/>
      <c r="AR270" s="52"/>
      <c r="AS270" s="47"/>
      <c r="AT270" s="47"/>
      <c r="AU270" s="47"/>
      <c r="AV270" s="48"/>
      <c r="AW270" s="53"/>
      <c r="AX270" s="47"/>
      <c r="AY270" s="47"/>
      <c r="AZ270" s="47"/>
      <c r="BA270" s="48"/>
      <c r="BB270" s="59"/>
      <c r="BC270" s="47"/>
      <c r="BD270" s="47"/>
      <c r="BE270" s="47"/>
      <c r="BF270" s="48"/>
      <c r="BG270" s="59"/>
      <c r="BH270" s="47"/>
      <c r="BI270" s="47"/>
      <c r="BJ270" s="47"/>
      <c r="BK270" s="56"/>
    </row>
    <row r="271" ht="21.0" customHeight="1">
      <c r="A271" s="78"/>
      <c r="B271" s="44" t="s">
        <v>129</v>
      </c>
      <c r="C271" s="44" t="s">
        <v>318</v>
      </c>
      <c r="D271" s="98">
        <v>44969.0</v>
      </c>
      <c r="E271" s="48"/>
      <c r="F271" s="44" t="s">
        <v>115</v>
      </c>
      <c r="G271" s="44" t="s">
        <v>115</v>
      </c>
      <c r="H271" s="44" t="s">
        <v>319</v>
      </c>
      <c r="I271" s="100"/>
      <c r="J271" s="47"/>
      <c r="K271" s="47"/>
      <c r="L271" s="47"/>
      <c r="M271" s="48"/>
      <c r="N271" s="51"/>
      <c r="O271" s="47"/>
      <c r="P271" s="47"/>
      <c r="Q271" s="47"/>
      <c r="R271" s="48"/>
      <c r="S271" s="130"/>
      <c r="T271" s="47"/>
      <c r="U271" s="47"/>
      <c r="V271" s="47"/>
      <c r="W271" s="48"/>
      <c r="X271" s="137">
        <v>14.33</v>
      </c>
      <c r="Y271" s="47"/>
      <c r="Z271" s="47"/>
      <c r="AA271" s="47"/>
      <c r="AB271" s="48"/>
      <c r="AC271" s="50"/>
      <c r="AD271" s="47"/>
      <c r="AE271" s="47"/>
      <c r="AF271" s="47"/>
      <c r="AG271" s="48"/>
      <c r="AH271" s="52"/>
      <c r="AI271" s="47"/>
      <c r="AJ271" s="47"/>
      <c r="AK271" s="47"/>
      <c r="AL271" s="48"/>
      <c r="AM271" s="91"/>
      <c r="AN271" s="47"/>
      <c r="AO271" s="47"/>
      <c r="AP271" s="47"/>
      <c r="AQ271" s="48"/>
      <c r="AR271" s="52"/>
      <c r="AS271" s="47"/>
      <c r="AT271" s="47"/>
      <c r="AU271" s="47"/>
      <c r="AV271" s="48"/>
      <c r="AW271" s="53"/>
      <c r="AX271" s="47"/>
      <c r="AY271" s="47"/>
      <c r="AZ271" s="47"/>
      <c r="BA271" s="48"/>
      <c r="BB271" s="59"/>
      <c r="BC271" s="47"/>
      <c r="BD271" s="47"/>
      <c r="BE271" s="47"/>
      <c r="BF271" s="48"/>
      <c r="BG271" s="59"/>
      <c r="BH271" s="47"/>
      <c r="BI271" s="47"/>
      <c r="BJ271" s="47"/>
      <c r="BK271" s="56"/>
    </row>
    <row r="272" ht="21.0" customHeight="1">
      <c r="A272" s="78"/>
      <c r="B272" s="44" t="s">
        <v>144</v>
      </c>
      <c r="C272" s="44" t="s">
        <v>321</v>
      </c>
      <c r="D272" s="98">
        <v>44895.0</v>
      </c>
      <c r="E272" s="48"/>
      <c r="F272" s="44" t="s">
        <v>115</v>
      </c>
      <c r="G272" s="44" t="s">
        <v>115</v>
      </c>
      <c r="H272" s="44" t="s">
        <v>308</v>
      </c>
      <c r="I272" s="100"/>
      <c r="J272" s="47"/>
      <c r="K272" s="47"/>
      <c r="L272" s="47"/>
      <c r="M272" s="48"/>
      <c r="N272" s="51"/>
      <c r="O272" s="47"/>
      <c r="P272" s="47"/>
      <c r="Q272" s="47"/>
      <c r="R272" s="48"/>
      <c r="S272" s="130"/>
      <c r="T272" s="47"/>
      <c r="U272" s="47"/>
      <c r="V272" s="47"/>
      <c r="W272" s="48"/>
      <c r="X272" s="137">
        <v>156.65</v>
      </c>
      <c r="Y272" s="47"/>
      <c r="Z272" s="47"/>
      <c r="AA272" s="47"/>
      <c r="AB272" s="48"/>
      <c r="AC272" s="50"/>
      <c r="AD272" s="47"/>
      <c r="AE272" s="47"/>
      <c r="AF272" s="47"/>
      <c r="AG272" s="48"/>
      <c r="AH272" s="52"/>
      <c r="AI272" s="47"/>
      <c r="AJ272" s="47"/>
      <c r="AK272" s="47"/>
      <c r="AL272" s="48"/>
      <c r="AM272" s="91"/>
      <c r="AN272" s="47"/>
      <c r="AO272" s="47"/>
      <c r="AP272" s="47"/>
      <c r="AQ272" s="48"/>
      <c r="AR272" s="100"/>
      <c r="AS272" s="47"/>
      <c r="AT272" s="47"/>
      <c r="AU272" s="47"/>
      <c r="AV272" s="48"/>
      <c r="AW272" s="53"/>
      <c r="AX272" s="47"/>
      <c r="AY272" s="47"/>
      <c r="AZ272" s="47"/>
      <c r="BA272" s="48"/>
      <c r="BB272" s="59"/>
      <c r="BC272" s="47"/>
      <c r="BD272" s="47"/>
      <c r="BE272" s="47"/>
      <c r="BF272" s="48"/>
      <c r="BG272" s="59"/>
      <c r="BH272" s="47"/>
      <c r="BI272" s="47"/>
      <c r="BJ272" s="47"/>
      <c r="BK272" s="56"/>
    </row>
    <row r="273" ht="21.0" customHeight="1">
      <c r="A273" s="78"/>
      <c r="B273" s="44" t="s">
        <v>144</v>
      </c>
      <c r="C273" s="44" t="s">
        <v>322</v>
      </c>
      <c r="D273" s="98">
        <v>44926.0</v>
      </c>
      <c r="E273" s="48"/>
      <c r="F273" s="44" t="s">
        <v>115</v>
      </c>
      <c r="G273" s="44" t="s">
        <v>115</v>
      </c>
      <c r="H273" s="44" t="s">
        <v>308</v>
      </c>
      <c r="I273" s="100"/>
      <c r="J273" s="47"/>
      <c r="K273" s="47"/>
      <c r="L273" s="47"/>
      <c r="M273" s="48"/>
      <c r="N273" s="51"/>
      <c r="O273" s="47"/>
      <c r="P273" s="47"/>
      <c r="Q273" s="47"/>
      <c r="R273" s="48"/>
      <c r="S273" s="130"/>
      <c r="T273" s="47"/>
      <c r="U273" s="47"/>
      <c r="V273" s="47"/>
      <c r="W273" s="48"/>
      <c r="X273" s="137">
        <v>161.12</v>
      </c>
      <c r="Y273" s="47"/>
      <c r="Z273" s="47"/>
      <c r="AA273" s="47"/>
      <c r="AB273" s="48"/>
      <c r="AC273" s="50"/>
      <c r="AD273" s="47"/>
      <c r="AE273" s="47"/>
      <c r="AF273" s="47"/>
      <c r="AG273" s="48"/>
      <c r="AH273" s="51"/>
      <c r="AI273" s="47"/>
      <c r="AJ273" s="47"/>
      <c r="AK273" s="47"/>
      <c r="AL273" s="48"/>
      <c r="AM273" s="91"/>
      <c r="AN273" s="47"/>
      <c r="AO273" s="47"/>
      <c r="AP273" s="47"/>
      <c r="AQ273" s="48"/>
      <c r="AR273" s="100"/>
      <c r="AS273" s="47"/>
      <c r="AT273" s="47"/>
      <c r="AU273" s="47"/>
      <c r="AV273" s="48"/>
      <c r="AW273" s="53"/>
      <c r="AX273" s="47"/>
      <c r="AY273" s="47"/>
      <c r="AZ273" s="47"/>
      <c r="BA273" s="48"/>
      <c r="BB273" s="59"/>
      <c r="BC273" s="47"/>
      <c r="BD273" s="47"/>
      <c r="BE273" s="47"/>
      <c r="BF273" s="48"/>
      <c r="BG273" s="59"/>
      <c r="BH273" s="47"/>
      <c r="BI273" s="47"/>
      <c r="BJ273" s="47"/>
      <c r="BK273" s="56"/>
    </row>
    <row r="274" ht="21.0" customHeight="1">
      <c r="A274" s="78"/>
      <c r="B274" s="44" t="s">
        <v>144</v>
      </c>
      <c r="C274" s="44" t="s">
        <v>323</v>
      </c>
      <c r="D274" s="98">
        <v>44957.0</v>
      </c>
      <c r="E274" s="48"/>
      <c r="F274" s="44" t="s">
        <v>115</v>
      </c>
      <c r="G274" s="44" t="s">
        <v>115</v>
      </c>
      <c r="H274" s="44" t="s">
        <v>308</v>
      </c>
      <c r="I274" s="100"/>
      <c r="J274" s="47"/>
      <c r="K274" s="47"/>
      <c r="L274" s="47"/>
      <c r="M274" s="48"/>
      <c r="N274" s="51"/>
      <c r="O274" s="47"/>
      <c r="P274" s="47"/>
      <c r="Q274" s="47"/>
      <c r="R274" s="48"/>
      <c r="S274" s="130"/>
      <c r="T274" s="47"/>
      <c r="U274" s="47"/>
      <c r="V274" s="47"/>
      <c r="W274" s="48"/>
      <c r="X274" s="52"/>
      <c r="Y274" s="47"/>
      <c r="Z274" s="47"/>
      <c r="AA274" s="47"/>
      <c r="AB274" s="48"/>
      <c r="AC274" s="50"/>
      <c r="AD274" s="47"/>
      <c r="AE274" s="47"/>
      <c r="AF274" s="47"/>
      <c r="AG274" s="48"/>
      <c r="AH274" s="137">
        <v>172.81</v>
      </c>
      <c r="AI274" s="47"/>
      <c r="AJ274" s="47"/>
      <c r="AK274" s="47"/>
      <c r="AL274" s="48"/>
      <c r="AM274" s="91"/>
      <c r="AN274" s="47"/>
      <c r="AO274" s="47"/>
      <c r="AP274" s="47"/>
      <c r="AQ274" s="48"/>
      <c r="AR274" s="100"/>
      <c r="AS274" s="47"/>
      <c r="AT274" s="47"/>
      <c r="AU274" s="47"/>
      <c r="AV274" s="48"/>
      <c r="AW274" s="53"/>
      <c r="AX274" s="47"/>
      <c r="AY274" s="47"/>
      <c r="AZ274" s="47"/>
      <c r="BA274" s="48"/>
      <c r="BB274" s="59"/>
      <c r="BC274" s="47"/>
      <c r="BD274" s="47"/>
      <c r="BE274" s="47"/>
      <c r="BF274" s="48"/>
      <c r="BG274" s="59"/>
      <c r="BH274" s="47"/>
      <c r="BI274" s="47"/>
      <c r="BJ274" s="47"/>
      <c r="BK274" s="56"/>
    </row>
    <row r="275" ht="21.0" customHeight="1">
      <c r="A275" s="78"/>
      <c r="B275" s="44" t="s">
        <v>144</v>
      </c>
      <c r="C275" s="44" t="s">
        <v>324</v>
      </c>
      <c r="D275" s="98">
        <v>44985.0</v>
      </c>
      <c r="E275" s="48"/>
      <c r="F275" s="44" t="s">
        <v>115</v>
      </c>
      <c r="G275" s="44" t="s">
        <v>115</v>
      </c>
      <c r="H275" s="44" t="s">
        <v>308</v>
      </c>
      <c r="I275" s="100"/>
      <c r="J275" s="47"/>
      <c r="K275" s="47"/>
      <c r="L275" s="47"/>
      <c r="M275" s="48"/>
      <c r="N275" s="51"/>
      <c r="O275" s="47"/>
      <c r="P275" s="47"/>
      <c r="Q275" s="47"/>
      <c r="R275" s="48"/>
      <c r="S275" s="130"/>
      <c r="T275" s="47"/>
      <c r="U275" s="47"/>
      <c r="V275" s="47"/>
      <c r="W275" s="48"/>
      <c r="X275" s="52"/>
      <c r="Y275" s="47"/>
      <c r="Z275" s="47"/>
      <c r="AA275" s="47"/>
      <c r="AB275" s="48"/>
      <c r="AC275" s="50"/>
      <c r="AD275" s="47"/>
      <c r="AE275" s="47"/>
      <c r="AF275" s="47"/>
      <c r="AG275" s="48"/>
      <c r="AH275" s="137">
        <v>185.12</v>
      </c>
      <c r="AI275" s="47"/>
      <c r="AJ275" s="47"/>
      <c r="AK275" s="47"/>
      <c r="AL275" s="48"/>
      <c r="AM275" s="101"/>
      <c r="AN275" s="47"/>
      <c r="AO275" s="47"/>
      <c r="AP275" s="47"/>
      <c r="AQ275" s="48"/>
      <c r="AR275" s="51"/>
      <c r="AS275" s="47"/>
      <c r="AT275" s="47"/>
      <c r="AU275" s="47"/>
      <c r="AV275" s="48"/>
      <c r="AW275" s="53"/>
      <c r="AX275" s="47"/>
      <c r="AY275" s="47"/>
      <c r="AZ275" s="47"/>
      <c r="BA275" s="48"/>
      <c r="BB275" s="59"/>
      <c r="BC275" s="47"/>
      <c r="BD275" s="47"/>
      <c r="BE275" s="47"/>
      <c r="BF275" s="48"/>
      <c r="BG275" s="59"/>
      <c r="BH275" s="47"/>
      <c r="BI275" s="47"/>
      <c r="BJ275" s="47"/>
      <c r="BK275" s="56"/>
    </row>
    <row r="276" ht="21.0" customHeight="1">
      <c r="A276" s="78"/>
      <c r="B276" s="44" t="s">
        <v>144</v>
      </c>
      <c r="C276" s="44" t="s">
        <v>325</v>
      </c>
      <c r="D276" s="98">
        <v>45016.0</v>
      </c>
      <c r="E276" s="48"/>
      <c r="F276" s="44" t="s">
        <v>115</v>
      </c>
      <c r="G276" s="44" t="s">
        <v>115</v>
      </c>
      <c r="H276" s="44" t="s">
        <v>308</v>
      </c>
      <c r="I276" s="100"/>
      <c r="J276" s="47"/>
      <c r="K276" s="47"/>
      <c r="L276" s="47"/>
      <c r="M276" s="48"/>
      <c r="N276" s="51"/>
      <c r="O276" s="47"/>
      <c r="P276" s="47"/>
      <c r="Q276" s="47"/>
      <c r="R276" s="48"/>
      <c r="S276" s="130"/>
      <c r="T276" s="47"/>
      <c r="U276" s="47"/>
      <c r="V276" s="47"/>
      <c r="W276" s="48"/>
      <c r="X276" s="52"/>
      <c r="Y276" s="47"/>
      <c r="Z276" s="47"/>
      <c r="AA276" s="47"/>
      <c r="AB276" s="48"/>
      <c r="AC276" s="50"/>
      <c r="AD276" s="47"/>
      <c r="AE276" s="47"/>
      <c r="AF276" s="47"/>
      <c r="AG276" s="48"/>
      <c r="AH276" s="137">
        <v>181.5</v>
      </c>
      <c r="AI276" s="47"/>
      <c r="AJ276" s="47"/>
      <c r="AK276" s="47"/>
      <c r="AL276" s="48"/>
      <c r="AM276" s="91"/>
      <c r="AN276" s="47"/>
      <c r="AO276" s="47"/>
      <c r="AP276" s="47"/>
      <c r="AQ276" s="48"/>
      <c r="AR276" s="51"/>
      <c r="AS276" s="47"/>
      <c r="AT276" s="47"/>
      <c r="AU276" s="47"/>
      <c r="AV276" s="48"/>
      <c r="AW276" s="53"/>
      <c r="AX276" s="47"/>
      <c r="AY276" s="47"/>
      <c r="AZ276" s="47"/>
      <c r="BA276" s="48"/>
      <c r="BB276" s="59"/>
      <c r="BC276" s="47"/>
      <c r="BD276" s="47"/>
      <c r="BE276" s="47"/>
      <c r="BF276" s="48"/>
      <c r="BG276" s="59"/>
      <c r="BH276" s="47"/>
      <c r="BI276" s="47"/>
      <c r="BJ276" s="47"/>
      <c r="BK276" s="56"/>
    </row>
    <row r="277" ht="21.0" customHeight="1">
      <c r="A277" s="78"/>
      <c r="B277" s="44" t="s">
        <v>144</v>
      </c>
      <c r="C277" s="138" t="s">
        <v>328</v>
      </c>
      <c r="D277" s="98">
        <v>45046.0</v>
      </c>
      <c r="E277" s="48"/>
      <c r="F277" s="44" t="s">
        <v>115</v>
      </c>
      <c r="G277" s="44" t="s">
        <v>115</v>
      </c>
      <c r="H277" s="44" t="s">
        <v>308</v>
      </c>
      <c r="I277" s="100"/>
      <c r="J277" s="47"/>
      <c r="K277" s="47"/>
      <c r="L277" s="47"/>
      <c r="M277" s="48"/>
      <c r="N277" s="51"/>
      <c r="O277" s="47"/>
      <c r="P277" s="47"/>
      <c r="Q277" s="47"/>
      <c r="R277" s="48"/>
      <c r="S277" s="130"/>
      <c r="T277" s="47"/>
      <c r="U277" s="47"/>
      <c r="V277" s="47"/>
      <c r="W277" s="48"/>
      <c r="X277" s="52"/>
      <c r="Y277" s="47"/>
      <c r="Z277" s="47"/>
      <c r="AA277" s="47"/>
      <c r="AB277" s="48"/>
      <c r="AC277" s="50"/>
      <c r="AD277" s="47"/>
      <c r="AE277" s="47"/>
      <c r="AF277" s="47"/>
      <c r="AG277" s="48"/>
      <c r="AH277" s="137">
        <v>167.13</v>
      </c>
      <c r="AI277" s="47"/>
      <c r="AJ277" s="47"/>
      <c r="AK277" s="47"/>
      <c r="AL277" s="48"/>
      <c r="AM277" s="50"/>
      <c r="AN277" s="47"/>
      <c r="AO277" s="47"/>
      <c r="AP277" s="47"/>
      <c r="AQ277" s="48"/>
      <c r="AR277" s="51"/>
      <c r="AS277" s="47"/>
      <c r="AT277" s="47"/>
      <c r="AU277" s="47"/>
      <c r="AV277" s="48"/>
      <c r="AW277" s="53"/>
      <c r="AX277" s="47"/>
      <c r="AY277" s="47"/>
      <c r="AZ277" s="47"/>
      <c r="BA277" s="48"/>
      <c r="BB277" s="59"/>
      <c r="BC277" s="47"/>
      <c r="BD277" s="47"/>
      <c r="BE277" s="47"/>
      <c r="BF277" s="48"/>
      <c r="BG277" s="59"/>
      <c r="BH277" s="47"/>
      <c r="BI277" s="47"/>
      <c r="BJ277" s="47"/>
      <c r="BK277" s="56"/>
    </row>
    <row r="278" ht="21.0" customHeight="1">
      <c r="A278" s="78"/>
      <c r="B278" s="44" t="s">
        <v>144</v>
      </c>
      <c r="C278" s="138" t="s">
        <v>338</v>
      </c>
      <c r="D278" s="98">
        <v>45077.0</v>
      </c>
      <c r="E278" s="48"/>
      <c r="F278" s="44" t="s">
        <v>115</v>
      </c>
      <c r="G278" s="44" t="s">
        <v>115</v>
      </c>
      <c r="H278" s="44" t="s">
        <v>308</v>
      </c>
      <c r="I278" s="100"/>
      <c r="J278" s="47"/>
      <c r="K278" s="47"/>
      <c r="L278" s="47"/>
      <c r="M278" s="48"/>
      <c r="N278" s="51"/>
      <c r="O278" s="47"/>
      <c r="P278" s="47"/>
      <c r="Q278" s="47"/>
      <c r="R278" s="48"/>
      <c r="S278" s="130"/>
      <c r="T278" s="47"/>
      <c r="U278" s="47"/>
      <c r="V278" s="47"/>
      <c r="W278" s="48"/>
      <c r="X278" s="52"/>
      <c r="Y278" s="47"/>
      <c r="Z278" s="47"/>
      <c r="AA278" s="47"/>
      <c r="AB278" s="48"/>
      <c r="AC278" s="50"/>
      <c r="AD278" s="47"/>
      <c r="AE278" s="47"/>
      <c r="AF278" s="47"/>
      <c r="AG278" s="48"/>
      <c r="AH278" s="137">
        <v>159.36</v>
      </c>
      <c r="AI278" s="47"/>
      <c r="AJ278" s="47"/>
      <c r="AK278" s="47"/>
      <c r="AL278" s="48"/>
      <c r="AM278" s="50"/>
      <c r="AN278" s="47"/>
      <c r="AO278" s="47"/>
      <c r="AP278" s="47"/>
      <c r="AQ278" s="48"/>
      <c r="AR278" s="51"/>
      <c r="AS278" s="47"/>
      <c r="AT278" s="47"/>
      <c r="AU278" s="47"/>
      <c r="AV278" s="48"/>
      <c r="AW278" s="53"/>
      <c r="AX278" s="47"/>
      <c r="AY278" s="47"/>
      <c r="AZ278" s="47"/>
      <c r="BA278" s="48"/>
      <c r="BB278" s="59"/>
      <c r="BC278" s="47"/>
      <c r="BD278" s="47"/>
      <c r="BE278" s="47"/>
      <c r="BF278" s="48"/>
      <c r="BG278" s="59"/>
      <c r="BH278" s="47"/>
      <c r="BI278" s="47"/>
      <c r="BJ278" s="47"/>
      <c r="BK278" s="56"/>
    </row>
    <row r="279" ht="21.0" customHeight="1">
      <c r="A279" s="43"/>
      <c r="B279" s="44" t="s">
        <v>144</v>
      </c>
      <c r="C279" s="138" t="s">
        <v>340</v>
      </c>
      <c r="D279" s="98">
        <v>45107.0</v>
      </c>
      <c r="E279" s="48"/>
      <c r="F279" s="44" t="s">
        <v>115</v>
      </c>
      <c r="G279" s="44" t="s">
        <v>115</v>
      </c>
      <c r="H279" s="44" t="s">
        <v>308</v>
      </c>
      <c r="I279" s="100"/>
      <c r="J279" s="47"/>
      <c r="K279" s="47"/>
      <c r="L279" s="47"/>
      <c r="M279" s="48"/>
      <c r="N279" s="51"/>
      <c r="O279" s="47"/>
      <c r="P279" s="47"/>
      <c r="Q279" s="47"/>
      <c r="R279" s="48"/>
      <c r="S279" s="130"/>
      <c r="T279" s="47"/>
      <c r="U279" s="47"/>
      <c r="V279" s="47"/>
      <c r="W279" s="48"/>
      <c r="X279" s="52"/>
      <c r="Y279" s="47"/>
      <c r="Z279" s="47"/>
      <c r="AA279" s="47"/>
      <c r="AB279" s="48"/>
      <c r="AC279" s="50"/>
      <c r="AD279" s="47"/>
      <c r="AE279" s="47"/>
      <c r="AF279" s="47"/>
      <c r="AG279" s="48"/>
      <c r="AH279" s="137">
        <v>133.89</v>
      </c>
      <c r="AI279" s="47"/>
      <c r="AJ279" s="47"/>
      <c r="AK279" s="47"/>
      <c r="AL279" s="48"/>
      <c r="AM279" s="50"/>
      <c r="AN279" s="47"/>
      <c r="AO279" s="47"/>
      <c r="AP279" s="47"/>
      <c r="AQ279" s="48"/>
      <c r="AR279" s="51"/>
      <c r="AS279" s="47"/>
      <c r="AT279" s="47"/>
      <c r="AU279" s="47"/>
      <c r="AV279" s="48"/>
      <c r="AW279" s="53"/>
      <c r="AX279" s="47"/>
      <c r="AY279" s="47"/>
      <c r="AZ279" s="47"/>
      <c r="BA279" s="48"/>
      <c r="BB279" s="54"/>
      <c r="BC279" s="47"/>
      <c r="BD279" s="47"/>
      <c r="BE279" s="47"/>
      <c r="BF279" s="48"/>
      <c r="BG279" s="55"/>
      <c r="BH279" s="47"/>
      <c r="BI279" s="47"/>
      <c r="BJ279" s="47"/>
      <c r="BK279" s="56"/>
    </row>
    <row r="280" ht="21.0" customHeight="1">
      <c r="A280" s="78"/>
      <c r="B280" s="44" t="s">
        <v>144</v>
      </c>
      <c r="C280" s="138" t="s">
        <v>342</v>
      </c>
      <c r="D280" s="98">
        <v>45138.0</v>
      </c>
      <c r="E280" s="48"/>
      <c r="F280" s="44" t="s">
        <v>115</v>
      </c>
      <c r="G280" s="44" t="s">
        <v>115</v>
      </c>
      <c r="H280" s="44" t="s">
        <v>308</v>
      </c>
      <c r="I280" s="100"/>
      <c r="J280" s="47"/>
      <c r="K280" s="47"/>
      <c r="L280" s="47"/>
      <c r="M280" s="48"/>
      <c r="N280" s="51"/>
      <c r="O280" s="47"/>
      <c r="P280" s="47"/>
      <c r="Q280" s="47"/>
      <c r="R280" s="48"/>
      <c r="S280" s="130"/>
      <c r="T280" s="47"/>
      <c r="U280" s="47"/>
      <c r="V280" s="47"/>
      <c r="W280" s="48"/>
      <c r="X280" s="52"/>
      <c r="Y280" s="47"/>
      <c r="Z280" s="47"/>
      <c r="AA280" s="47"/>
      <c r="AB280" s="48"/>
      <c r="AC280" s="50"/>
      <c r="AD280" s="47"/>
      <c r="AE280" s="47"/>
      <c r="AF280" s="47"/>
      <c r="AG280" s="48"/>
      <c r="AH280" s="51"/>
      <c r="AI280" s="47"/>
      <c r="AJ280" s="47"/>
      <c r="AK280" s="47"/>
      <c r="AL280" s="48"/>
      <c r="AM280" s="50"/>
      <c r="AN280" s="47"/>
      <c r="AO280" s="47"/>
      <c r="AP280" s="47"/>
      <c r="AQ280" s="48"/>
      <c r="AR280" s="137">
        <v>135.94</v>
      </c>
      <c r="AS280" s="47"/>
      <c r="AT280" s="47"/>
      <c r="AU280" s="47"/>
      <c r="AV280" s="48"/>
      <c r="AW280" s="53"/>
      <c r="AX280" s="47"/>
      <c r="AY280" s="47"/>
      <c r="AZ280" s="47"/>
      <c r="BA280" s="48"/>
      <c r="BB280" s="54"/>
      <c r="BC280" s="47"/>
      <c r="BD280" s="47"/>
      <c r="BE280" s="47"/>
      <c r="BF280" s="48"/>
      <c r="BG280" s="55"/>
      <c r="BH280" s="47"/>
      <c r="BI280" s="47"/>
      <c r="BJ280" s="47"/>
      <c r="BK280" s="56"/>
    </row>
    <row r="281" ht="21.0" customHeight="1">
      <c r="A281" s="78"/>
      <c r="B281" s="44" t="s">
        <v>144</v>
      </c>
      <c r="C281" s="138" t="s">
        <v>342</v>
      </c>
      <c r="D281" s="98">
        <v>45139.0</v>
      </c>
      <c r="E281" s="48"/>
      <c r="F281" s="44" t="s">
        <v>115</v>
      </c>
      <c r="G281" s="44" t="s">
        <v>115</v>
      </c>
      <c r="H281" s="44" t="s">
        <v>308</v>
      </c>
      <c r="I281" s="100"/>
      <c r="J281" s="47"/>
      <c r="K281" s="47"/>
      <c r="L281" s="47"/>
      <c r="M281" s="48"/>
      <c r="N281" s="51"/>
      <c r="O281" s="47"/>
      <c r="P281" s="47"/>
      <c r="Q281" s="47"/>
      <c r="R281" s="48"/>
      <c r="S281" s="130"/>
      <c r="T281" s="47"/>
      <c r="U281" s="47"/>
      <c r="V281" s="47"/>
      <c r="W281" s="48"/>
      <c r="X281" s="52"/>
      <c r="Y281" s="47"/>
      <c r="Z281" s="47"/>
      <c r="AA281" s="47"/>
      <c r="AB281" s="48"/>
      <c r="AC281" s="50"/>
      <c r="AD281" s="47"/>
      <c r="AE281" s="47"/>
      <c r="AF281" s="47"/>
      <c r="AG281" s="48"/>
      <c r="AH281" s="51"/>
      <c r="AI281" s="47"/>
      <c r="AJ281" s="47"/>
      <c r="AK281" s="47"/>
      <c r="AL281" s="48"/>
      <c r="AM281" s="50"/>
      <c r="AN281" s="47"/>
      <c r="AO281" s="47"/>
      <c r="AP281" s="47"/>
      <c r="AQ281" s="48"/>
      <c r="AR281" s="137">
        <v>135.94</v>
      </c>
      <c r="AS281" s="47"/>
      <c r="AT281" s="47"/>
      <c r="AU281" s="47"/>
      <c r="AV281" s="48"/>
      <c r="AW281" s="53"/>
      <c r="AX281" s="47"/>
      <c r="AY281" s="47"/>
      <c r="AZ281" s="47"/>
      <c r="BA281" s="48"/>
      <c r="BB281" s="54"/>
      <c r="BC281" s="47"/>
      <c r="BD281" s="47"/>
      <c r="BE281" s="47"/>
      <c r="BF281" s="48"/>
      <c r="BG281" s="55"/>
      <c r="BH281" s="47"/>
      <c r="BI281" s="47"/>
      <c r="BJ281" s="47"/>
      <c r="BK281" s="56"/>
    </row>
    <row r="282" ht="21.0" customHeight="1">
      <c r="A282" s="78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</row>
    <row r="283" ht="21.0" customHeight="1">
      <c r="A283" s="78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</row>
    <row r="284" ht="21.0" customHeight="1">
      <c r="A284" s="244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</row>
    <row r="285" ht="21.0" customHeight="1">
      <c r="A285" s="244"/>
    </row>
    <row r="286" ht="21.0" customHeight="1">
      <c r="A286" s="244"/>
    </row>
    <row r="287" ht="21.0" customHeight="1">
      <c r="A287" s="244"/>
    </row>
    <row r="288" ht="21.0" customHeight="1">
      <c r="A288" s="244"/>
    </row>
    <row r="289" ht="21.0" customHeight="1">
      <c r="A289" s="244"/>
    </row>
    <row r="290" ht="21.0" customHeight="1">
      <c r="A290" s="244"/>
    </row>
    <row r="291" ht="21.0" customHeight="1">
      <c r="A291" s="244"/>
    </row>
    <row r="292" ht="21.0" customHeight="1">
      <c r="A292" s="244"/>
    </row>
    <row r="293" ht="21.0" customHeight="1">
      <c r="A293" s="244"/>
    </row>
    <row r="294" ht="21.0" customHeight="1">
      <c r="A294" s="244"/>
    </row>
    <row r="295" ht="21.0" customHeight="1">
      <c r="A295" s="244"/>
    </row>
    <row r="296" ht="21.0" customHeight="1">
      <c r="A296" s="244"/>
    </row>
    <row r="297" ht="21.0" customHeight="1">
      <c r="A297" s="244"/>
    </row>
    <row r="298" ht="21.0" customHeight="1">
      <c r="A298" s="244"/>
    </row>
    <row r="299" ht="21.0" customHeight="1">
      <c r="A299" s="244"/>
    </row>
    <row r="300" ht="21.0" customHeight="1">
      <c r="A300" s="244"/>
    </row>
    <row r="301" ht="21.0" customHeight="1">
      <c r="A301" s="244"/>
    </row>
    <row r="302" ht="21.0" customHeight="1">
      <c r="A302" s="244"/>
    </row>
    <row r="303" ht="21.0" customHeight="1">
      <c r="A303" s="244"/>
    </row>
    <row r="304" ht="21.0" customHeight="1">
      <c r="A304" s="244"/>
    </row>
    <row r="305" ht="21.0" customHeight="1">
      <c r="A305" s="244"/>
    </row>
    <row r="306" ht="21.0" customHeight="1">
      <c r="A306" s="244"/>
    </row>
    <row r="307" ht="21.0" customHeight="1">
      <c r="A307" s="244"/>
    </row>
    <row r="308" ht="21.0" customHeight="1">
      <c r="A308" s="244"/>
    </row>
    <row r="309" ht="21.0" customHeight="1">
      <c r="A309" s="244"/>
    </row>
    <row r="310" ht="21.0" customHeight="1">
      <c r="A310" s="43"/>
    </row>
    <row r="311" ht="21.0" customHeight="1">
      <c r="A311" s="244"/>
    </row>
    <row r="312" ht="21.0" customHeight="1">
      <c r="A312" s="43"/>
    </row>
    <row r="313" ht="21.0" customHeight="1">
      <c r="A313" s="43"/>
    </row>
    <row r="314" ht="21.0" customHeight="1">
      <c r="A314" s="244"/>
    </row>
    <row r="315" ht="21.0" customHeight="1">
      <c r="A315" s="244"/>
    </row>
    <row r="316" ht="21.0" customHeight="1">
      <c r="A316" s="244"/>
    </row>
    <row r="317" ht="21.0" customHeight="1">
      <c r="A317" s="244"/>
    </row>
    <row r="318" ht="21.0" customHeight="1">
      <c r="A318" s="244"/>
    </row>
    <row r="319" ht="21.0" customHeight="1">
      <c r="A319" s="244"/>
    </row>
    <row r="320" ht="21.0" customHeight="1">
      <c r="A320" s="244"/>
    </row>
    <row r="321" ht="21.0" customHeight="1">
      <c r="A321" s="244"/>
    </row>
    <row r="322" ht="21.0" customHeight="1">
      <c r="A322" s="244"/>
    </row>
    <row r="323" ht="21.0" customHeight="1">
      <c r="A323" s="244"/>
    </row>
    <row r="324" ht="21.0" customHeight="1">
      <c r="A324" s="244"/>
    </row>
    <row r="325" ht="21.0" customHeight="1">
      <c r="A325" s="244"/>
    </row>
    <row r="326" ht="21.0" customHeight="1">
      <c r="A326" s="244"/>
    </row>
    <row r="327" ht="21.0" customHeight="1">
      <c r="A327" s="244"/>
    </row>
    <row r="328" ht="21.0" customHeight="1">
      <c r="A328" s="43"/>
    </row>
    <row r="329" ht="21.0" customHeight="1">
      <c r="A329" s="244"/>
    </row>
    <row r="330" ht="21.0" customHeight="1">
      <c r="A330" s="244"/>
    </row>
    <row r="331" ht="21.0" customHeight="1">
      <c r="A331" s="245"/>
    </row>
    <row r="332" ht="21.0" customHeight="1">
      <c r="A332" s="245"/>
    </row>
    <row r="333" ht="21.0" customHeight="1">
      <c r="A333" s="245"/>
    </row>
    <row r="334" ht="21.0" customHeight="1">
      <c r="A334" s="245"/>
    </row>
    <row r="335" ht="21.0" customHeight="1">
      <c r="A335" s="245"/>
    </row>
    <row r="336" ht="21.0" customHeight="1">
      <c r="A336" s="245"/>
    </row>
    <row r="337" ht="21.0" customHeight="1">
      <c r="A337" s="245"/>
    </row>
    <row r="338" ht="21.0" customHeight="1">
      <c r="A338" s="245"/>
    </row>
    <row r="339" ht="21.0" customHeight="1">
      <c r="A339" s="245"/>
    </row>
    <row r="340" ht="21.0" customHeight="1">
      <c r="A340" s="245"/>
    </row>
    <row r="341" ht="21.0" customHeight="1">
      <c r="A341" s="245"/>
    </row>
    <row r="342" ht="21.0" customHeight="1">
      <c r="A342" s="245"/>
    </row>
    <row r="343" ht="21.0" customHeight="1">
      <c r="A343" s="245"/>
    </row>
    <row r="344" ht="21.0" customHeight="1">
      <c r="A344" s="246"/>
    </row>
    <row r="345" ht="21.0" customHeight="1">
      <c r="A345" s="247"/>
    </row>
    <row r="346" ht="21.0" customHeight="1">
      <c r="A346" s="247"/>
    </row>
    <row r="347" ht="21.0" customHeight="1">
      <c r="A347" s="244"/>
    </row>
    <row r="348" ht="21.0" customHeight="1">
      <c r="A348" s="43"/>
    </row>
    <row r="349" ht="21.0" customHeight="1">
      <c r="A349" s="244"/>
    </row>
    <row r="350" ht="21.0" customHeight="1">
      <c r="A350" s="244"/>
    </row>
    <row r="351" ht="21.0" customHeight="1">
      <c r="A351" s="43"/>
    </row>
    <row r="352" ht="21.0" customHeight="1">
      <c r="A352" s="244"/>
    </row>
    <row r="353" ht="21.0" customHeight="1">
      <c r="A353" s="43"/>
    </row>
    <row r="354" ht="21.0" customHeight="1">
      <c r="A354" s="43"/>
    </row>
    <row r="355" ht="21.0" customHeight="1">
      <c r="A355" s="244"/>
    </row>
    <row r="356" ht="21.0" customHeight="1">
      <c r="A356" s="244"/>
    </row>
    <row r="357" ht="21.0" customHeight="1">
      <c r="A357" s="244"/>
    </row>
    <row r="358" ht="21.0" customHeight="1">
      <c r="A358" s="244"/>
    </row>
    <row r="359" ht="21.0" customHeight="1">
      <c r="A359" s="244"/>
    </row>
    <row r="360" ht="21.0" customHeight="1">
      <c r="A360" s="244"/>
    </row>
    <row r="361" ht="21.0" customHeight="1">
      <c r="A361" s="244"/>
    </row>
    <row r="362" ht="21.0" customHeight="1">
      <c r="A362" s="244"/>
    </row>
    <row r="363" ht="21.0" customHeight="1">
      <c r="A363" s="244"/>
    </row>
    <row r="364" ht="21.0" customHeight="1">
      <c r="A364" s="244"/>
    </row>
    <row r="365" ht="21.0" customHeight="1">
      <c r="A365" s="244"/>
    </row>
    <row r="366" ht="21.0" customHeight="1">
      <c r="A366" s="244"/>
    </row>
    <row r="367" ht="21.0" customHeight="1">
      <c r="A367" s="244"/>
    </row>
    <row r="368" ht="21.0" customHeight="1">
      <c r="A368" s="244"/>
    </row>
    <row r="369" ht="21.0" customHeight="1">
      <c r="A369" s="244"/>
    </row>
    <row r="370" ht="21.0" customHeight="1">
      <c r="A370" s="244"/>
    </row>
    <row r="371" ht="21.0" customHeight="1">
      <c r="A371" s="244"/>
    </row>
    <row r="372" ht="21.0" customHeight="1">
      <c r="A372" s="244"/>
    </row>
    <row r="373" ht="21.0" customHeight="1">
      <c r="A373" s="244"/>
    </row>
    <row r="374" ht="21.0" customHeight="1">
      <c r="A374" s="244"/>
    </row>
    <row r="375" ht="21.0" customHeight="1">
      <c r="A375" s="17"/>
    </row>
    <row r="376" ht="21.0" customHeight="1">
      <c r="A376" s="17"/>
    </row>
    <row r="377" ht="21.0" customHeight="1">
      <c r="A377" s="244"/>
    </row>
    <row r="378" ht="21.0" customHeight="1">
      <c r="A378" s="244"/>
    </row>
    <row r="379" ht="21.0" customHeight="1">
      <c r="A379" s="244"/>
    </row>
    <row r="380" ht="21.0" customHeight="1">
      <c r="A380" s="244"/>
    </row>
    <row r="381" ht="21.0" customHeight="1">
      <c r="A381" s="244"/>
    </row>
    <row r="382" ht="21.0" customHeight="1">
      <c r="A382" s="244"/>
    </row>
    <row r="383" ht="21.0" customHeight="1">
      <c r="A383" s="244"/>
    </row>
    <row r="384" ht="21.0" customHeight="1">
      <c r="A384" s="244"/>
    </row>
    <row r="385" ht="21.0" customHeight="1">
      <c r="A385" s="244"/>
    </row>
    <row r="386" ht="21.0" customHeight="1">
      <c r="A386" s="244"/>
    </row>
    <row r="387" ht="21.0" customHeight="1">
      <c r="A387" s="244"/>
    </row>
    <row r="388" ht="21.0" customHeight="1">
      <c r="A388" s="244"/>
    </row>
    <row r="389" ht="21.0" customHeight="1">
      <c r="A389" s="244"/>
    </row>
    <row r="390" ht="21.0" customHeight="1">
      <c r="A390" s="244"/>
    </row>
    <row r="391" ht="21.0" customHeight="1">
      <c r="A391" s="244"/>
    </row>
    <row r="392" ht="21.0" customHeight="1">
      <c r="A392" s="244"/>
    </row>
    <row r="393" ht="21.0" customHeight="1">
      <c r="A393" s="244"/>
    </row>
    <row r="394" ht="21.0" customHeight="1">
      <c r="A394" s="244"/>
    </row>
    <row r="395" ht="21.0" customHeight="1">
      <c r="A395" s="244"/>
    </row>
    <row r="396" ht="21.0" customHeight="1">
      <c r="A396" s="244"/>
    </row>
    <row r="397" ht="21.0" customHeight="1">
      <c r="A397" s="244"/>
    </row>
    <row r="398" ht="21.0" customHeight="1">
      <c r="A398" s="244"/>
    </row>
    <row r="399" ht="21.0" customHeight="1">
      <c r="A399" s="244"/>
    </row>
    <row r="400" ht="21.0" customHeight="1">
      <c r="A400" s="244"/>
    </row>
    <row r="401" ht="21.0" customHeight="1">
      <c r="A401" s="244"/>
    </row>
    <row r="402" ht="21.0" customHeight="1">
      <c r="A402" s="244"/>
    </row>
    <row r="403" ht="21.0" customHeight="1">
      <c r="A403" s="244"/>
    </row>
    <row r="404" ht="21.0" customHeight="1">
      <c r="A404" s="33"/>
    </row>
    <row r="405" ht="21.0" customHeight="1">
      <c r="A405" s="17"/>
    </row>
    <row r="406" ht="21.0" customHeight="1">
      <c r="A406" s="17"/>
    </row>
    <row r="407" ht="21.0" customHeight="1">
      <c r="A407" s="17"/>
    </row>
    <row r="408" ht="21.0" customHeight="1">
      <c r="A408" s="17"/>
    </row>
    <row r="409" ht="21.0" customHeight="1">
      <c r="A409" s="17"/>
    </row>
    <row r="410" ht="21.0" customHeight="1">
      <c r="A410" s="17"/>
    </row>
    <row r="411" ht="21.0" customHeight="1">
      <c r="A411" s="17"/>
    </row>
    <row r="412" ht="21.0" customHeight="1">
      <c r="A412" s="17"/>
    </row>
    <row r="413" ht="21.0" customHeight="1">
      <c r="A413" s="17"/>
    </row>
    <row r="414" ht="21.0" customHeight="1">
      <c r="A414" s="17"/>
    </row>
    <row r="415" ht="21.0" customHeight="1">
      <c r="A415" s="17"/>
    </row>
    <row r="416" ht="21.0" customHeight="1">
      <c r="A416" s="17"/>
    </row>
    <row r="417" ht="21.0" customHeight="1">
      <c r="A417" s="17"/>
    </row>
    <row r="418" ht="21.0" customHeight="1">
      <c r="A418" s="17"/>
    </row>
    <row r="419" ht="21.0" customHeight="1">
      <c r="A419" s="17"/>
    </row>
    <row r="420" ht="21.0" customHeight="1">
      <c r="A420" s="17"/>
    </row>
    <row r="421" ht="21.0" customHeight="1">
      <c r="A421" s="17"/>
    </row>
    <row r="422" ht="21.0" customHeight="1">
      <c r="A422" s="17"/>
    </row>
    <row r="423" ht="21.0" customHeight="1">
      <c r="A423" s="17"/>
    </row>
    <row r="424" ht="21.0" customHeight="1">
      <c r="A424" s="17"/>
    </row>
    <row r="425" ht="21.0" customHeight="1"/>
    <row r="426" ht="21.0" customHeight="1"/>
    <row r="427" ht="21.0" customHeight="1"/>
  </sheetData>
  <mergeCells count="3067">
    <mergeCell ref="AM4:AV4"/>
    <mergeCell ref="AW4:BK4"/>
    <mergeCell ref="AC5:AG5"/>
    <mergeCell ref="AH5:AL5"/>
    <mergeCell ref="AM5:AQ5"/>
    <mergeCell ref="AR5:AV5"/>
    <mergeCell ref="AW5:BA5"/>
    <mergeCell ref="BB5:BF5"/>
    <mergeCell ref="BG5:BK5"/>
    <mergeCell ref="I2:N2"/>
    <mergeCell ref="O2:W2"/>
    <mergeCell ref="B4:C5"/>
    <mergeCell ref="E4:H5"/>
    <mergeCell ref="I4:R4"/>
    <mergeCell ref="S4:AB4"/>
    <mergeCell ref="AC4:AL4"/>
    <mergeCell ref="AR6:AV6"/>
    <mergeCell ref="AW6:BA6"/>
    <mergeCell ref="BB6:BF6"/>
    <mergeCell ref="BG6:BK6"/>
    <mergeCell ref="S5:W5"/>
    <mergeCell ref="X5:AB5"/>
    <mergeCell ref="S6:W6"/>
    <mergeCell ref="X6:AB6"/>
    <mergeCell ref="AC6:AG6"/>
    <mergeCell ref="AH6:AL6"/>
    <mergeCell ref="AM6:AQ6"/>
    <mergeCell ref="BB7:BF7"/>
    <mergeCell ref="BG7:BK7"/>
    <mergeCell ref="S7:W7"/>
    <mergeCell ref="X7:AB7"/>
    <mergeCell ref="AC7:AG7"/>
    <mergeCell ref="AH7:AL7"/>
    <mergeCell ref="AM7:AQ7"/>
    <mergeCell ref="AR7:AV7"/>
    <mergeCell ref="AW7:BA7"/>
    <mergeCell ref="AR8:AV8"/>
    <mergeCell ref="AW8:BA8"/>
    <mergeCell ref="BB8:BF8"/>
    <mergeCell ref="BG8:BK8"/>
    <mergeCell ref="I8:M8"/>
    <mergeCell ref="N8:R8"/>
    <mergeCell ref="S8:W8"/>
    <mergeCell ref="X8:AB8"/>
    <mergeCell ref="AC8:AG8"/>
    <mergeCell ref="AH8:AL8"/>
    <mergeCell ref="AM8:AQ8"/>
    <mergeCell ref="I5:M5"/>
    <mergeCell ref="N5:R5"/>
    <mergeCell ref="D6:E6"/>
    <mergeCell ref="I6:M6"/>
    <mergeCell ref="N6:R6"/>
    <mergeCell ref="I7:M7"/>
    <mergeCell ref="N7:R7"/>
    <mergeCell ref="AR9:AV9"/>
    <mergeCell ref="AW9:BA9"/>
    <mergeCell ref="BB9:BF9"/>
    <mergeCell ref="BG9:BK9"/>
    <mergeCell ref="I9:M9"/>
    <mergeCell ref="N9:R9"/>
    <mergeCell ref="S9:W9"/>
    <mergeCell ref="X9:AB9"/>
    <mergeCell ref="AC9:AG9"/>
    <mergeCell ref="AH9:AL9"/>
    <mergeCell ref="AM9:AQ9"/>
    <mergeCell ref="AR10:AV10"/>
    <mergeCell ref="AW10:BA10"/>
    <mergeCell ref="BB10:BF10"/>
    <mergeCell ref="BG10:BK10"/>
    <mergeCell ref="I10:M10"/>
    <mergeCell ref="N10:R10"/>
    <mergeCell ref="S10:W10"/>
    <mergeCell ref="X10:AB10"/>
    <mergeCell ref="AC10:AG10"/>
    <mergeCell ref="AH10:AL10"/>
    <mergeCell ref="AM10:AQ10"/>
    <mergeCell ref="AR14:AV14"/>
    <mergeCell ref="AW14:BA14"/>
    <mergeCell ref="BB14:BF14"/>
    <mergeCell ref="BG14:BK14"/>
    <mergeCell ref="I14:M14"/>
    <mergeCell ref="N14:R14"/>
    <mergeCell ref="S14:W14"/>
    <mergeCell ref="X14:AB14"/>
    <mergeCell ref="AC14:AG14"/>
    <mergeCell ref="AH14:AL14"/>
    <mergeCell ref="AM14:AQ14"/>
    <mergeCell ref="AR15:AV15"/>
    <mergeCell ref="AW15:BA15"/>
    <mergeCell ref="BB15:BF15"/>
    <mergeCell ref="BG15:BK15"/>
    <mergeCell ref="I15:M15"/>
    <mergeCell ref="N15:R15"/>
    <mergeCell ref="S15:W15"/>
    <mergeCell ref="X15:AB15"/>
    <mergeCell ref="AC15:AG15"/>
    <mergeCell ref="AH15:AL15"/>
    <mergeCell ref="AM15:AQ15"/>
    <mergeCell ref="AR16:AV16"/>
    <mergeCell ref="AW16:BA16"/>
    <mergeCell ref="BB16:BF16"/>
    <mergeCell ref="BG16:BK16"/>
    <mergeCell ref="I16:M16"/>
    <mergeCell ref="N16:R16"/>
    <mergeCell ref="S16:W16"/>
    <mergeCell ref="X16:AB16"/>
    <mergeCell ref="AC16:AG16"/>
    <mergeCell ref="AH16:AL16"/>
    <mergeCell ref="AM16:AQ16"/>
    <mergeCell ref="AR17:AV17"/>
    <mergeCell ref="AW17:BA17"/>
    <mergeCell ref="BB17:BF17"/>
    <mergeCell ref="BG17:BK17"/>
    <mergeCell ref="I17:M17"/>
    <mergeCell ref="N17:R17"/>
    <mergeCell ref="S17:W17"/>
    <mergeCell ref="X17:AB17"/>
    <mergeCell ref="AC17:AG17"/>
    <mergeCell ref="AH17:AL17"/>
    <mergeCell ref="AM17:AQ17"/>
    <mergeCell ref="AR18:AV18"/>
    <mergeCell ref="AW18:BA18"/>
    <mergeCell ref="BB18:BF18"/>
    <mergeCell ref="BG18:BK18"/>
    <mergeCell ref="I18:M18"/>
    <mergeCell ref="N18:R18"/>
    <mergeCell ref="S18:W18"/>
    <mergeCell ref="X18:AB18"/>
    <mergeCell ref="AC18:AG18"/>
    <mergeCell ref="AH18:AL18"/>
    <mergeCell ref="AM18:AQ18"/>
    <mergeCell ref="AR19:AV19"/>
    <mergeCell ref="AW19:BA19"/>
    <mergeCell ref="BB19:BF19"/>
    <mergeCell ref="BG19:BK19"/>
    <mergeCell ref="I19:M19"/>
    <mergeCell ref="N19:R19"/>
    <mergeCell ref="S19:W19"/>
    <mergeCell ref="X19:AB19"/>
    <mergeCell ref="AC19:AG19"/>
    <mergeCell ref="AH19:AL19"/>
    <mergeCell ref="AM19:AQ19"/>
    <mergeCell ref="AR20:AV20"/>
    <mergeCell ref="AW20:BA20"/>
    <mergeCell ref="BB20:BF20"/>
    <mergeCell ref="BG20:BK20"/>
    <mergeCell ref="I20:M20"/>
    <mergeCell ref="N20:R20"/>
    <mergeCell ref="S20:W20"/>
    <mergeCell ref="X20:AB20"/>
    <mergeCell ref="AC20:AG20"/>
    <mergeCell ref="AH20:AL20"/>
    <mergeCell ref="AM20:AQ20"/>
    <mergeCell ref="AR21:AV21"/>
    <mergeCell ref="AW21:BA21"/>
    <mergeCell ref="BB21:BF21"/>
    <mergeCell ref="BG21:BK21"/>
    <mergeCell ref="I21:M21"/>
    <mergeCell ref="N21:R21"/>
    <mergeCell ref="S21:W21"/>
    <mergeCell ref="X21:AB21"/>
    <mergeCell ref="AC21:AG21"/>
    <mergeCell ref="AH21:AL21"/>
    <mergeCell ref="AM21:AQ21"/>
    <mergeCell ref="AR22:AV22"/>
    <mergeCell ref="AW22:BA22"/>
    <mergeCell ref="BB22:BF22"/>
    <mergeCell ref="BG22:BK22"/>
    <mergeCell ref="I22:M22"/>
    <mergeCell ref="N22:R22"/>
    <mergeCell ref="S22:W22"/>
    <mergeCell ref="X22:AB22"/>
    <mergeCell ref="AC22:AG22"/>
    <mergeCell ref="AH22:AL22"/>
    <mergeCell ref="AM22:AQ22"/>
    <mergeCell ref="AR23:AV23"/>
    <mergeCell ref="AW23:BA23"/>
    <mergeCell ref="BB23:BF23"/>
    <mergeCell ref="BG23:BK23"/>
    <mergeCell ref="I23:M23"/>
    <mergeCell ref="N23:R23"/>
    <mergeCell ref="S23:W23"/>
    <mergeCell ref="X23:AB23"/>
    <mergeCell ref="AC23:AG23"/>
    <mergeCell ref="AH23:AL23"/>
    <mergeCell ref="AM23:AQ23"/>
    <mergeCell ref="AR24:AV24"/>
    <mergeCell ref="AW24:BA24"/>
    <mergeCell ref="BB24:BF24"/>
    <mergeCell ref="BG24:BK24"/>
    <mergeCell ref="I24:M24"/>
    <mergeCell ref="N24:R24"/>
    <mergeCell ref="S24:W24"/>
    <mergeCell ref="X24:AB24"/>
    <mergeCell ref="AC24:AG24"/>
    <mergeCell ref="AH24:AL24"/>
    <mergeCell ref="AM24:AQ24"/>
    <mergeCell ref="AR25:AV25"/>
    <mergeCell ref="AW25:BA25"/>
    <mergeCell ref="BB25:BF25"/>
    <mergeCell ref="BG25:BK25"/>
    <mergeCell ref="I25:M25"/>
    <mergeCell ref="N25:R25"/>
    <mergeCell ref="S25:W25"/>
    <mergeCell ref="X25:AB25"/>
    <mergeCell ref="AC25:AG25"/>
    <mergeCell ref="AH25:AL25"/>
    <mergeCell ref="AM25:AQ25"/>
    <mergeCell ref="AR26:AV26"/>
    <mergeCell ref="AW26:BA26"/>
    <mergeCell ref="BB26:BF26"/>
    <mergeCell ref="BG26:BK26"/>
    <mergeCell ref="I26:M26"/>
    <mergeCell ref="N26:R26"/>
    <mergeCell ref="S26:W26"/>
    <mergeCell ref="X26:AB26"/>
    <mergeCell ref="AC26:AG26"/>
    <mergeCell ref="AH26:AL26"/>
    <mergeCell ref="AM26:AQ26"/>
    <mergeCell ref="AR27:AV27"/>
    <mergeCell ref="AW27:BA27"/>
    <mergeCell ref="BB27:BF27"/>
    <mergeCell ref="BG27:BK27"/>
    <mergeCell ref="I27:M27"/>
    <mergeCell ref="N27:R27"/>
    <mergeCell ref="S27:W27"/>
    <mergeCell ref="X27:AB27"/>
    <mergeCell ref="AC27:AG27"/>
    <mergeCell ref="AH27:AL27"/>
    <mergeCell ref="AM27:AQ27"/>
    <mergeCell ref="AR28:AV28"/>
    <mergeCell ref="AW28:BA28"/>
    <mergeCell ref="BB28:BF28"/>
    <mergeCell ref="BG28:BK28"/>
    <mergeCell ref="I28:M28"/>
    <mergeCell ref="N28:R28"/>
    <mergeCell ref="S28:W28"/>
    <mergeCell ref="X28:AB28"/>
    <mergeCell ref="AC28:AG28"/>
    <mergeCell ref="AH28:AL28"/>
    <mergeCell ref="AM28:AQ28"/>
    <mergeCell ref="AR29:AV29"/>
    <mergeCell ref="AW29:BA29"/>
    <mergeCell ref="BB29:BF29"/>
    <mergeCell ref="BG29:BK29"/>
    <mergeCell ref="I29:M29"/>
    <mergeCell ref="N29:R29"/>
    <mergeCell ref="S29:W29"/>
    <mergeCell ref="X29:AB29"/>
    <mergeCell ref="AC29:AG29"/>
    <mergeCell ref="AH29:AL29"/>
    <mergeCell ref="AM29:AQ29"/>
    <mergeCell ref="AR30:AV30"/>
    <mergeCell ref="AW30:BA30"/>
    <mergeCell ref="BB30:BF30"/>
    <mergeCell ref="BG30:BK30"/>
    <mergeCell ref="I30:M30"/>
    <mergeCell ref="N30:R30"/>
    <mergeCell ref="S30:W30"/>
    <mergeCell ref="X30:AB30"/>
    <mergeCell ref="AC30:AG30"/>
    <mergeCell ref="AH30:AL30"/>
    <mergeCell ref="AM30:AQ30"/>
    <mergeCell ref="AR31:AV31"/>
    <mergeCell ref="AW31:BA31"/>
    <mergeCell ref="BB31:BF31"/>
    <mergeCell ref="BG31:BK31"/>
    <mergeCell ref="I31:M31"/>
    <mergeCell ref="N31:R31"/>
    <mergeCell ref="S31:W31"/>
    <mergeCell ref="X31:AB31"/>
    <mergeCell ref="AC31:AG31"/>
    <mergeCell ref="AH31:AL31"/>
    <mergeCell ref="AM31:AQ31"/>
    <mergeCell ref="AR32:AV32"/>
    <mergeCell ref="AW32:BA32"/>
    <mergeCell ref="BB32:BF32"/>
    <mergeCell ref="BG32:BK32"/>
    <mergeCell ref="I32:M32"/>
    <mergeCell ref="N32:R32"/>
    <mergeCell ref="S32:W32"/>
    <mergeCell ref="X32:AB32"/>
    <mergeCell ref="AC32:AG32"/>
    <mergeCell ref="AH32:AL32"/>
    <mergeCell ref="AM32:AQ32"/>
    <mergeCell ref="AR33:AV33"/>
    <mergeCell ref="AW33:BA33"/>
    <mergeCell ref="BB33:BF33"/>
    <mergeCell ref="BG33:BK33"/>
    <mergeCell ref="I33:M33"/>
    <mergeCell ref="N33:R33"/>
    <mergeCell ref="S33:W33"/>
    <mergeCell ref="X33:AB33"/>
    <mergeCell ref="AC33:AG33"/>
    <mergeCell ref="AH33:AL33"/>
    <mergeCell ref="AM33:AQ33"/>
    <mergeCell ref="AR34:AV34"/>
    <mergeCell ref="AW34:BA34"/>
    <mergeCell ref="BB34:BF34"/>
    <mergeCell ref="BG34:BK34"/>
    <mergeCell ref="I34:M34"/>
    <mergeCell ref="N34:R34"/>
    <mergeCell ref="S34:W34"/>
    <mergeCell ref="X34:AB34"/>
    <mergeCell ref="AC34:AG34"/>
    <mergeCell ref="AH34:AL34"/>
    <mergeCell ref="AM34:AQ34"/>
    <mergeCell ref="AR35:AV35"/>
    <mergeCell ref="AW35:BA35"/>
    <mergeCell ref="BB35:BF35"/>
    <mergeCell ref="BG35:BK35"/>
    <mergeCell ref="I35:M35"/>
    <mergeCell ref="N35:R35"/>
    <mergeCell ref="S35:W35"/>
    <mergeCell ref="X35:AB35"/>
    <mergeCell ref="AC35:AG35"/>
    <mergeCell ref="AH35:AL35"/>
    <mergeCell ref="AM35:AQ35"/>
    <mergeCell ref="AR36:AV36"/>
    <mergeCell ref="AW36:BA36"/>
    <mergeCell ref="BB36:BF36"/>
    <mergeCell ref="BG36:BK36"/>
    <mergeCell ref="I36:M36"/>
    <mergeCell ref="N36:R36"/>
    <mergeCell ref="S36:W36"/>
    <mergeCell ref="X36:AB36"/>
    <mergeCell ref="AC36:AG36"/>
    <mergeCell ref="AH36:AL36"/>
    <mergeCell ref="AM36:AQ36"/>
    <mergeCell ref="AR37:AV37"/>
    <mergeCell ref="AW37:BA37"/>
    <mergeCell ref="BB37:BF37"/>
    <mergeCell ref="BG37:BK37"/>
    <mergeCell ref="I37:M37"/>
    <mergeCell ref="N37:R37"/>
    <mergeCell ref="S37:W37"/>
    <mergeCell ref="X37:AB37"/>
    <mergeCell ref="AC37:AG37"/>
    <mergeCell ref="AH37:AL37"/>
    <mergeCell ref="AM37:AQ37"/>
    <mergeCell ref="AR38:AV38"/>
    <mergeCell ref="AW38:BA38"/>
    <mergeCell ref="BB38:BF38"/>
    <mergeCell ref="BG38:BK38"/>
    <mergeCell ref="I38:M38"/>
    <mergeCell ref="N38:R38"/>
    <mergeCell ref="S38:W38"/>
    <mergeCell ref="X38:AB38"/>
    <mergeCell ref="AC38:AG38"/>
    <mergeCell ref="AH38:AL38"/>
    <mergeCell ref="AM38:AQ38"/>
    <mergeCell ref="AR39:AV39"/>
    <mergeCell ref="AW39:BA39"/>
    <mergeCell ref="BB39:BF39"/>
    <mergeCell ref="BG39:BK39"/>
    <mergeCell ref="I39:M39"/>
    <mergeCell ref="N39:R39"/>
    <mergeCell ref="S39:W39"/>
    <mergeCell ref="X39:AB39"/>
    <mergeCell ref="AC39:AG39"/>
    <mergeCell ref="AH39:AL39"/>
    <mergeCell ref="AM39:AQ39"/>
    <mergeCell ref="AR40:AV40"/>
    <mergeCell ref="AW40:BA40"/>
    <mergeCell ref="BB40:BF40"/>
    <mergeCell ref="BG40:BK40"/>
    <mergeCell ref="I40:M40"/>
    <mergeCell ref="N40:R40"/>
    <mergeCell ref="S40:W40"/>
    <mergeCell ref="X40:AB40"/>
    <mergeCell ref="AC40:AG40"/>
    <mergeCell ref="AH40:AL40"/>
    <mergeCell ref="AM40:AQ40"/>
    <mergeCell ref="AR41:AV41"/>
    <mergeCell ref="AW41:BA41"/>
    <mergeCell ref="BB41:BF41"/>
    <mergeCell ref="BG41:BK41"/>
    <mergeCell ref="I41:M41"/>
    <mergeCell ref="N41:R41"/>
    <mergeCell ref="S41:W41"/>
    <mergeCell ref="X41:AB41"/>
    <mergeCell ref="AC41:AG41"/>
    <mergeCell ref="AH41:AL41"/>
    <mergeCell ref="AM41:AQ41"/>
    <mergeCell ref="AR42:AV42"/>
    <mergeCell ref="AW42:BA42"/>
    <mergeCell ref="BB42:BF42"/>
    <mergeCell ref="BG42:BK42"/>
    <mergeCell ref="I42:M42"/>
    <mergeCell ref="N42:R42"/>
    <mergeCell ref="S42:W42"/>
    <mergeCell ref="X42:AB42"/>
    <mergeCell ref="AC42:AG42"/>
    <mergeCell ref="AH42:AL42"/>
    <mergeCell ref="AM42:AQ42"/>
    <mergeCell ref="AR43:AV43"/>
    <mergeCell ref="AW43:BA43"/>
    <mergeCell ref="BB43:BF43"/>
    <mergeCell ref="BG43:BK43"/>
    <mergeCell ref="I43:M43"/>
    <mergeCell ref="N43:R43"/>
    <mergeCell ref="S43:W43"/>
    <mergeCell ref="X43:AB43"/>
    <mergeCell ref="AC43:AG43"/>
    <mergeCell ref="AH43:AL43"/>
    <mergeCell ref="AM43:AQ43"/>
    <mergeCell ref="AR44:AV44"/>
    <mergeCell ref="AW44:BA44"/>
    <mergeCell ref="BB44:BF44"/>
    <mergeCell ref="BG44:BK44"/>
    <mergeCell ref="I44:M44"/>
    <mergeCell ref="N44:R44"/>
    <mergeCell ref="S44:W44"/>
    <mergeCell ref="X44:AB44"/>
    <mergeCell ref="AC44:AG44"/>
    <mergeCell ref="AH44:AL44"/>
    <mergeCell ref="AM44:AQ44"/>
    <mergeCell ref="AR45:AV45"/>
    <mergeCell ref="AW45:BA45"/>
    <mergeCell ref="BB45:BF45"/>
    <mergeCell ref="BG45:BK45"/>
    <mergeCell ref="I45:M45"/>
    <mergeCell ref="N45:R45"/>
    <mergeCell ref="S45:W45"/>
    <mergeCell ref="X45:AB45"/>
    <mergeCell ref="AC45:AG45"/>
    <mergeCell ref="AH45:AL45"/>
    <mergeCell ref="AM45:AQ45"/>
    <mergeCell ref="AR46:AV46"/>
    <mergeCell ref="AW46:BA46"/>
    <mergeCell ref="BB46:BF46"/>
    <mergeCell ref="BG46:BK46"/>
    <mergeCell ref="I46:M46"/>
    <mergeCell ref="N46:R46"/>
    <mergeCell ref="S46:W46"/>
    <mergeCell ref="X46:AB46"/>
    <mergeCell ref="AC46:AG46"/>
    <mergeCell ref="AH46:AL46"/>
    <mergeCell ref="AM46:AQ46"/>
    <mergeCell ref="AR47:AV47"/>
    <mergeCell ref="AW47:BA47"/>
    <mergeCell ref="BB47:BF47"/>
    <mergeCell ref="BG47:BK47"/>
    <mergeCell ref="I47:M47"/>
    <mergeCell ref="N47:R47"/>
    <mergeCell ref="S47:W47"/>
    <mergeCell ref="X47:AB47"/>
    <mergeCell ref="AC47:AG47"/>
    <mergeCell ref="AH47:AL47"/>
    <mergeCell ref="AM47:AQ47"/>
    <mergeCell ref="AR48:AV48"/>
    <mergeCell ref="AW48:BA48"/>
    <mergeCell ref="BB48:BF48"/>
    <mergeCell ref="BG48:BK48"/>
    <mergeCell ref="I48:M48"/>
    <mergeCell ref="N48:R48"/>
    <mergeCell ref="S48:W48"/>
    <mergeCell ref="X48:AB48"/>
    <mergeCell ref="AC48:AG48"/>
    <mergeCell ref="AH48:AL48"/>
    <mergeCell ref="AM48:AQ48"/>
    <mergeCell ref="AR49:AV49"/>
    <mergeCell ref="AW49:BA49"/>
    <mergeCell ref="BB49:BF49"/>
    <mergeCell ref="BG49:BK49"/>
    <mergeCell ref="I49:M49"/>
    <mergeCell ref="N49:R49"/>
    <mergeCell ref="S49:W49"/>
    <mergeCell ref="X49:AB49"/>
    <mergeCell ref="AC49:AG49"/>
    <mergeCell ref="AH49:AL49"/>
    <mergeCell ref="AM49:AQ49"/>
    <mergeCell ref="AR50:AV50"/>
    <mergeCell ref="AW50:BA50"/>
    <mergeCell ref="BB50:BF50"/>
    <mergeCell ref="BG50:BK50"/>
    <mergeCell ref="I50:M50"/>
    <mergeCell ref="N50:R50"/>
    <mergeCell ref="S50:W50"/>
    <mergeCell ref="X50:AB50"/>
    <mergeCell ref="AC50:AG50"/>
    <mergeCell ref="AH50:AL50"/>
    <mergeCell ref="AM50:AQ50"/>
    <mergeCell ref="AR51:AV51"/>
    <mergeCell ref="AW51:BA51"/>
    <mergeCell ref="BB51:BF51"/>
    <mergeCell ref="BG51:BK51"/>
    <mergeCell ref="I51:M51"/>
    <mergeCell ref="N51:R51"/>
    <mergeCell ref="S51:W51"/>
    <mergeCell ref="X51:AB51"/>
    <mergeCell ref="AC51:AG51"/>
    <mergeCell ref="AH51:AL51"/>
    <mergeCell ref="AM51:AQ51"/>
    <mergeCell ref="AR52:AV52"/>
    <mergeCell ref="AW52:BA52"/>
    <mergeCell ref="BB52:BF52"/>
    <mergeCell ref="BG52:BK52"/>
    <mergeCell ref="I52:M52"/>
    <mergeCell ref="N52:R52"/>
    <mergeCell ref="S52:W52"/>
    <mergeCell ref="X52:AB52"/>
    <mergeCell ref="AC52:AG52"/>
    <mergeCell ref="AH52:AL52"/>
    <mergeCell ref="AM52:AQ52"/>
    <mergeCell ref="AR53:AV53"/>
    <mergeCell ref="AW53:BA53"/>
    <mergeCell ref="BB53:BF53"/>
    <mergeCell ref="BG53:BK53"/>
    <mergeCell ref="I53:M53"/>
    <mergeCell ref="N53:R53"/>
    <mergeCell ref="S53:W53"/>
    <mergeCell ref="X53:AB53"/>
    <mergeCell ref="AC53:AG53"/>
    <mergeCell ref="AH53:AL53"/>
    <mergeCell ref="AM53:AQ53"/>
    <mergeCell ref="AR54:AV54"/>
    <mergeCell ref="AW54:BA54"/>
    <mergeCell ref="BB54:BF54"/>
    <mergeCell ref="BG54:BK54"/>
    <mergeCell ref="I54:M54"/>
    <mergeCell ref="N54:R54"/>
    <mergeCell ref="S54:W54"/>
    <mergeCell ref="X54:AB54"/>
    <mergeCell ref="AC54:AG54"/>
    <mergeCell ref="AH54:AL54"/>
    <mergeCell ref="AM54:AQ54"/>
    <mergeCell ref="AR55:AV55"/>
    <mergeCell ref="AW55:BA55"/>
    <mergeCell ref="BB55:BF55"/>
    <mergeCell ref="BG55:BK55"/>
    <mergeCell ref="I55:M55"/>
    <mergeCell ref="N55:R55"/>
    <mergeCell ref="S55:W55"/>
    <mergeCell ref="X55:AB55"/>
    <mergeCell ref="AC55:AG55"/>
    <mergeCell ref="AH55:AL55"/>
    <mergeCell ref="AM55:AQ55"/>
    <mergeCell ref="AR56:AV56"/>
    <mergeCell ref="AW56:BA56"/>
    <mergeCell ref="BB56:BF56"/>
    <mergeCell ref="BG56:BK56"/>
    <mergeCell ref="I56:M56"/>
    <mergeCell ref="N56:R56"/>
    <mergeCell ref="S56:W56"/>
    <mergeCell ref="X56:AB56"/>
    <mergeCell ref="AC56:AG56"/>
    <mergeCell ref="AH56:AL56"/>
    <mergeCell ref="AM56:AQ56"/>
    <mergeCell ref="AR57:AV57"/>
    <mergeCell ref="AW57:BA57"/>
    <mergeCell ref="BB57:BF57"/>
    <mergeCell ref="BG57:BK57"/>
    <mergeCell ref="I57:M57"/>
    <mergeCell ref="N57:R57"/>
    <mergeCell ref="S57:W57"/>
    <mergeCell ref="X57:AB57"/>
    <mergeCell ref="AC57:AG57"/>
    <mergeCell ref="AH57:AL57"/>
    <mergeCell ref="AM57:AQ57"/>
    <mergeCell ref="AR58:AV58"/>
    <mergeCell ref="AW58:BA58"/>
    <mergeCell ref="BB58:BF58"/>
    <mergeCell ref="BG58:BK58"/>
    <mergeCell ref="I58:M58"/>
    <mergeCell ref="N58:R58"/>
    <mergeCell ref="S58:W58"/>
    <mergeCell ref="X58:AB58"/>
    <mergeCell ref="AC58:AG58"/>
    <mergeCell ref="AH58:AL58"/>
    <mergeCell ref="AM58:AQ58"/>
    <mergeCell ref="AR59:AV59"/>
    <mergeCell ref="AW59:BA59"/>
    <mergeCell ref="BB59:BF59"/>
    <mergeCell ref="BG59:BK59"/>
    <mergeCell ref="I59:M59"/>
    <mergeCell ref="N59:R59"/>
    <mergeCell ref="S59:W59"/>
    <mergeCell ref="X59:AB59"/>
    <mergeCell ref="AC59:AG59"/>
    <mergeCell ref="AH59:AL59"/>
    <mergeCell ref="AM59:AQ59"/>
    <mergeCell ref="AR60:AV60"/>
    <mergeCell ref="AW60:BA60"/>
    <mergeCell ref="BB60:BF60"/>
    <mergeCell ref="BG60:BK60"/>
    <mergeCell ref="I60:M60"/>
    <mergeCell ref="N60:R60"/>
    <mergeCell ref="S60:W60"/>
    <mergeCell ref="X60:AB60"/>
    <mergeCell ref="AC60:AG60"/>
    <mergeCell ref="AH60:AL60"/>
    <mergeCell ref="AM60:AQ60"/>
    <mergeCell ref="AR61:AV61"/>
    <mergeCell ref="AW61:BA61"/>
    <mergeCell ref="BB61:BF61"/>
    <mergeCell ref="BG61:BK61"/>
    <mergeCell ref="I61:M61"/>
    <mergeCell ref="N61:R61"/>
    <mergeCell ref="S61:W61"/>
    <mergeCell ref="X61:AB61"/>
    <mergeCell ref="AC61:AG61"/>
    <mergeCell ref="AH61:AL61"/>
    <mergeCell ref="AM61:AQ61"/>
    <mergeCell ref="AR62:AV62"/>
    <mergeCell ref="AW62:BA62"/>
    <mergeCell ref="BB62:BF62"/>
    <mergeCell ref="BG62:BK62"/>
    <mergeCell ref="I62:M62"/>
    <mergeCell ref="N62:R62"/>
    <mergeCell ref="S62:W62"/>
    <mergeCell ref="X62:AB62"/>
    <mergeCell ref="AC62:AG62"/>
    <mergeCell ref="AH62:AL62"/>
    <mergeCell ref="AM62:AQ62"/>
    <mergeCell ref="AR63:AV63"/>
    <mergeCell ref="AW63:BA63"/>
    <mergeCell ref="BB63:BF63"/>
    <mergeCell ref="BG63:BK63"/>
    <mergeCell ref="I63:M63"/>
    <mergeCell ref="N63:R63"/>
    <mergeCell ref="S63:W63"/>
    <mergeCell ref="X63:AB63"/>
    <mergeCell ref="AC63:AG63"/>
    <mergeCell ref="AH63:AL63"/>
    <mergeCell ref="AM63:AQ63"/>
    <mergeCell ref="AR64:AV64"/>
    <mergeCell ref="AW64:BA64"/>
    <mergeCell ref="BB64:BF64"/>
    <mergeCell ref="BG64:BK64"/>
    <mergeCell ref="I64:M64"/>
    <mergeCell ref="N64:R64"/>
    <mergeCell ref="S64:W64"/>
    <mergeCell ref="X64:AB64"/>
    <mergeCell ref="AC64:AG64"/>
    <mergeCell ref="AH64:AL64"/>
    <mergeCell ref="AM64:AQ64"/>
    <mergeCell ref="AR65:AV65"/>
    <mergeCell ref="AW65:BA65"/>
    <mergeCell ref="BB65:BF65"/>
    <mergeCell ref="BG65:BK65"/>
    <mergeCell ref="I65:M65"/>
    <mergeCell ref="N65:R65"/>
    <mergeCell ref="S65:W65"/>
    <mergeCell ref="X65:AB65"/>
    <mergeCell ref="AC65:AG65"/>
    <mergeCell ref="AH65:AL65"/>
    <mergeCell ref="AM65:AQ65"/>
    <mergeCell ref="AR66:AV66"/>
    <mergeCell ref="AW66:BA66"/>
    <mergeCell ref="BB66:BF66"/>
    <mergeCell ref="BG66:BK66"/>
    <mergeCell ref="I66:M66"/>
    <mergeCell ref="N66:R66"/>
    <mergeCell ref="S66:W66"/>
    <mergeCell ref="X66:AB66"/>
    <mergeCell ref="AC66:AG66"/>
    <mergeCell ref="AH66:AL66"/>
    <mergeCell ref="AM66:AQ66"/>
    <mergeCell ref="AR67:AV67"/>
    <mergeCell ref="AW67:BA67"/>
    <mergeCell ref="BB67:BF67"/>
    <mergeCell ref="BG67:BK67"/>
    <mergeCell ref="I67:M67"/>
    <mergeCell ref="N67:R67"/>
    <mergeCell ref="S67:W67"/>
    <mergeCell ref="X67:AB67"/>
    <mergeCell ref="AC67:AG67"/>
    <mergeCell ref="AH67:AL67"/>
    <mergeCell ref="AM67:AQ67"/>
    <mergeCell ref="AR68:AV68"/>
    <mergeCell ref="AW68:BA68"/>
    <mergeCell ref="BB68:BF68"/>
    <mergeCell ref="BG68:BK68"/>
    <mergeCell ref="I68:M68"/>
    <mergeCell ref="N68:R68"/>
    <mergeCell ref="S68:W68"/>
    <mergeCell ref="X68:AB68"/>
    <mergeCell ref="AC68:AG68"/>
    <mergeCell ref="AH68:AL68"/>
    <mergeCell ref="AM68:AQ68"/>
    <mergeCell ref="AR69:AV69"/>
    <mergeCell ref="AW69:BA69"/>
    <mergeCell ref="BB69:BF69"/>
    <mergeCell ref="BG69:BK69"/>
    <mergeCell ref="I69:M69"/>
    <mergeCell ref="N69:R69"/>
    <mergeCell ref="S69:W69"/>
    <mergeCell ref="X69:AB69"/>
    <mergeCell ref="AC69:AG69"/>
    <mergeCell ref="AH69:AL69"/>
    <mergeCell ref="AM69:AQ69"/>
    <mergeCell ref="AR70:AV70"/>
    <mergeCell ref="AW70:BA70"/>
    <mergeCell ref="BB70:BF70"/>
    <mergeCell ref="BG70:BK70"/>
    <mergeCell ref="I70:M70"/>
    <mergeCell ref="N70:R70"/>
    <mergeCell ref="S70:W70"/>
    <mergeCell ref="X70:AB70"/>
    <mergeCell ref="AC70:AG70"/>
    <mergeCell ref="AH70:AL70"/>
    <mergeCell ref="AM70:AQ70"/>
    <mergeCell ref="AR71:AV71"/>
    <mergeCell ref="AW71:BA71"/>
    <mergeCell ref="BB71:BF71"/>
    <mergeCell ref="BG71:BK71"/>
    <mergeCell ref="I71:M71"/>
    <mergeCell ref="N71:R71"/>
    <mergeCell ref="S71:W71"/>
    <mergeCell ref="X71:AB71"/>
    <mergeCell ref="AC71:AG71"/>
    <mergeCell ref="AH71:AL71"/>
    <mergeCell ref="AM71:AQ71"/>
    <mergeCell ref="AR72:AV72"/>
    <mergeCell ref="AW72:BA72"/>
    <mergeCell ref="BB72:BF72"/>
    <mergeCell ref="BG72:BK72"/>
    <mergeCell ref="I72:M72"/>
    <mergeCell ref="N72:R72"/>
    <mergeCell ref="S72:W72"/>
    <mergeCell ref="X72:AB72"/>
    <mergeCell ref="AC72:AG72"/>
    <mergeCell ref="AH72:AL72"/>
    <mergeCell ref="AM72:AQ72"/>
    <mergeCell ref="AR73:AV73"/>
    <mergeCell ref="AW73:BA73"/>
    <mergeCell ref="BB73:BF73"/>
    <mergeCell ref="BG73:BK73"/>
    <mergeCell ref="I73:M73"/>
    <mergeCell ref="N73:R73"/>
    <mergeCell ref="S73:W73"/>
    <mergeCell ref="X73:AB73"/>
    <mergeCell ref="AC73:AG73"/>
    <mergeCell ref="AH73:AL73"/>
    <mergeCell ref="AM73:AQ73"/>
    <mergeCell ref="AR74:AV74"/>
    <mergeCell ref="AW74:BA74"/>
    <mergeCell ref="BB74:BF74"/>
    <mergeCell ref="BG74:BK74"/>
    <mergeCell ref="I74:M74"/>
    <mergeCell ref="N74:R74"/>
    <mergeCell ref="S74:W74"/>
    <mergeCell ref="X74:AB74"/>
    <mergeCell ref="AC74:AG74"/>
    <mergeCell ref="AH74:AL74"/>
    <mergeCell ref="AM74:AQ74"/>
    <mergeCell ref="AR75:AV75"/>
    <mergeCell ref="AW75:BA75"/>
    <mergeCell ref="BB75:BF75"/>
    <mergeCell ref="BG75:BK75"/>
    <mergeCell ref="I75:M75"/>
    <mergeCell ref="N75:R75"/>
    <mergeCell ref="S75:W75"/>
    <mergeCell ref="X75:AB75"/>
    <mergeCell ref="AC75:AG75"/>
    <mergeCell ref="AH75:AL75"/>
    <mergeCell ref="AM75:AQ75"/>
    <mergeCell ref="AR76:AV76"/>
    <mergeCell ref="AW76:BA76"/>
    <mergeCell ref="BB76:BF76"/>
    <mergeCell ref="BG76:BK76"/>
    <mergeCell ref="I76:M76"/>
    <mergeCell ref="N76:R76"/>
    <mergeCell ref="S76:W76"/>
    <mergeCell ref="X76:AB76"/>
    <mergeCell ref="AC76:AG76"/>
    <mergeCell ref="AH76:AL76"/>
    <mergeCell ref="AM76:AQ76"/>
    <mergeCell ref="AR77:AV77"/>
    <mergeCell ref="AW77:BA77"/>
    <mergeCell ref="BB77:BF77"/>
    <mergeCell ref="BG77:BK77"/>
    <mergeCell ref="I77:M77"/>
    <mergeCell ref="N77:R77"/>
    <mergeCell ref="S77:W77"/>
    <mergeCell ref="X77:AB77"/>
    <mergeCell ref="AC77:AG77"/>
    <mergeCell ref="AH77:AL77"/>
    <mergeCell ref="AM77:AQ77"/>
    <mergeCell ref="AR78:AV78"/>
    <mergeCell ref="AW78:BA78"/>
    <mergeCell ref="BB78:BF78"/>
    <mergeCell ref="BG78:BK78"/>
    <mergeCell ref="I78:M78"/>
    <mergeCell ref="N78:R78"/>
    <mergeCell ref="S78:W78"/>
    <mergeCell ref="X78:AB78"/>
    <mergeCell ref="AC78:AG78"/>
    <mergeCell ref="AH78:AL78"/>
    <mergeCell ref="AM78:AQ78"/>
    <mergeCell ref="AR79:AV79"/>
    <mergeCell ref="AW79:BA79"/>
    <mergeCell ref="BB79:BF79"/>
    <mergeCell ref="BG79:BK79"/>
    <mergeCell ref="I79:M79"/>
    <mergeCell ref="N79:R79"/>
    <mergeCell ref="S79:W79"/>
    <mergeCell ref="X79:AB79"/>
    <mergeCell ref="AC79:AG79"/>
    <mergeCell ref="AH79:AL79"/>
    <mergeCell ref="AM79:AQ79"/>
    <mergeCell ref="AR80:AV80"/>
    <mergeCell ref="AW80:BA80"/>
    <mergeCell ref="BB80:BF80"/>
    <mergeCell ref="BG80:BK80"/>
    <mergeCell ref="I80:M80"/>
    <mergeCell ref="N80:R80"/>
    <mergeCell ref="S80:W80"/>
    <mergeCell ref="X80:AB80"/>
    <mergeCell ref="AC80:AG80"/>
    <mergeCell ref="AH80:AL80"/>
    <mergeCell ref="AM80:AQ80"/>
    <mergeCell ref="AR81:AV81"/>
    <mergeCell ref="AW81:BA81"/>
    <mergeCell ref="BB81:BF81"/>
    <mergeCell ref="BG81:BK81"/>
    <mergeCell ref="I81:M81"/>
    <mergeCell ref="N81:R81"/>
    <mergeCell ref="S81:W81"/>
    <mergeCell ref="X81:AB81"/>
    <mergeCell ref="AC81:AG81"/>
    <mergeCell ref="AH81:AL81"/>
    <mergeCell ref="AM81:AQ81"/>
    <mergeCell ref="AR82:AV82"/>
    <mergeCell ref="AW82:BA82"/>
    <mergeCell ref="BB82:BF82"/>
    <mergeCell ref="BG82:BK82"/>
    <mergeCell ref="I82:M82"/>
    <mergeCell ref="N82:R82"/>
    <mergeCell ref="S82:W82"/>
    <mergeCell ref="X82:AB82"/>
    <mergeCell ref="AC82:AG82"/>
    <mergeCell ref="AH82:AL82"/>
    <mergeCell ref="AM82:AQ82"/>
    <mergeCell ref="AR83:AV83"/>
    <mergeCell ref="AW83:BA83"/>
    <mergeCell ref="BB83:BF83"/>
    <mergeCell ref="BG83:BK83"/>
    <mergeCell ref="I83:M83"/>
    <mergeCell ref="N83:R83"/>
    <mergeCell ref="S83:W83"/>
    <mergeCell ref="X83:AB83"/>
    <mergeCell ref="AC83:AG83"/>
    <mergeCell ref="AH83:AL83"/>
    <mergeCell ref="AM83:AQ83"/>
    <mergeCell ref="AR84:AV84"/>
    <mergeCell ref="AW84:BA84"/>
    <mergeCell ref="BB84:BF84"/>
    <mergeCell ref="BG84:BK84"/>
    <mergeCell ref="I84:M84"/>
    <mergeCell ref="N84:R84"/>
    <mergeCell ref="S84:W84"/>
    <mergeCell ref="X84:AB84"/>
    <mergeCell ref="AC84:AG84"/>
    <mergeCell ref="AH84:AL84"/>
    <mergeCell ref="AM84:AQ84"/>
    <mergeCell ref="AR85:AV85"/>
    <mergeCell ref="AW85:BA85"/>
    <mergeCell ref="BB85:BF85"/>
    <mergeCell ref="BG85:BK85"/>
    <mergeCell ref="I85:M85"/>
    <mergeCell ref="N85:R85"/>
    <mergeCell ref="S85:W85"/>
    <mergeCell ref="X85:AB85"/>
    <mergeCell ref="AC85:AG85"/>
    <mergeCell ref="AH85:AL85"/>
    <mergeCell ref="AM85:AQ85"/>
    <mergeCell ref="AR86:AV86"/>
    <mergeCell ref="AW86:BA86"/>
    <mergeCell ref="BB86:BF86"/>
    <mergeCell ref="BG86:BK86"/>
    <mergeCell ref="I86:M86"/>
    <mergeCell ref="N86:R86"/>
    <mergeCell ref="S86:W86"/>
    <mergeCell ref="X86:AB86"/>
    <mergeCell ref="AC86:AG86"/>
    <mergeCell ref="AH86:AL86"/>
    <mergeCell ref="AM86:AQ86"/>
    <mergeCell ref="AR87:AV87"/>
    <mergeCell ref="AW87:BA87"/>
    <mergeCell ref="BB87:BF87"/>
    <mergeCell ref="BG87:BK87"/>
    <mergeCell ref="I87:M87"/>
    <mergeCell ref="N87:R87"/>
    <mergeCell ref="S87:W87"/>
    <mergeCell ref="X87:AB87"/>
    <mergeCell ref="AC87:AG87"/>
    <mergeCell ref="AH87:AL87"/>
    <mergeCell ref="AM87:AQ87"/>
    <mergeCell ref="AR88:AV88"/>
    <mergeCell ref="AW88:BA88"/>
    <mergeCell ref="BB88:BF88"/>
    <mergeCell ref="BG88:BK88"/>
    <mergeCell ref="I88:M88"/>
    <mergeCell ref="N88:R88"/>
    <mergeCell ref="S88:W88"/>
    <mergeCell ref="X88:AB88"/>
    <mergeCell ref="AC88:AG88"/>
    <mergeCell ref="AH88:AL88"/>
    <mergeCell ref="AM88:AQ88"/>
    <mergeCell ref="AR89:AV89"/>
    <mergeCell ref="AW89:BA89"/>
    <mergeCell ref="BB89:BF89"/>
    <mergeCell ref="BG89:BK89"/>
    <mergeCell ref="I89:M89"/>
    <mergeCell ref="N89:R89"/>
    <mergeCell ref="S89:W89"/>
    <mergeCell ref="X89:AB89"/>
    <mergeCell ref="AC89:AG89"/>
    <mergeCell ref="AH89:AL89"/>
    <mergeCell ref="AM89:AQ89"/>
    <mergeCell ref="AR90:AV90"/>
    <mergeCell ref="AW90:BA90"/>
    <mergeCell ref="BB90:BF90"/>
    <mergeCell ref="BG90:BK90"/>
    <mergeCell ref="I90:M90"/>
    <mergeCell ref="N90:R90"/>
    <mergeCell ref="S90:W90"/>
    <mergeCell ref="X90:AB90"/>
    <mergeCell ref="AC90:AG90"/>
    <mergeCell ref="AH90:AL90"/>
    <mergeCell ref="AM90:AQ90"/>
    <mergeCell ref="AR91:AV91"/>
    <mergeCell ref="AW91:BA91"/>
    <mergeCell ref="BB91:BF91"/>
    <mergeCell ref="BG91:BK91"/>
    <mergeCell ref="I91:M91"/>
    <mergeCell ref="N91:R91"/>
    <mergeCell ref="S91:W91"/>
    <mergeCell ref="X91:AB91"/>
    <mergeCell ref="AC91:AG91"/>
    <mergeCell ref="AH91:AL91"/>
    <mergeCell ref="AM91:AQ91"/>
    <mergeCell ref="AR92:AV92"/>
    <mergeCell ref="AW92:BA92"/>
    <mergeCell ref="BB92:BF92"/>
    <mergeCell ref="BG92:BK92"/>
    <mergeCell ref="I92:M92"/>
    <mergeCell ref="N92:R92"/>
    <mergeCell ref="S92:W92"/>
    <mergeCell ref="X92:AB92"/>
    <mergeCell ref="AC92:AG92"/>
    <mergeCell ref="AH92:AL92"/>
    <mergeCell ref="AM92:AQ92"/>
    <mergeCell ref="AR93:AV93"/>
    <mergeCell ref="AW93:BA93"/>
    <mergeCell ref="BB93:BF93"/>
    <mergeCell ref="BG93:BK93"/>
    <mergeCell ref="I93:M93"/>
    <mergeCell ref="N93:R93"/>
    <mergeCell ref="S93:W93"/>
    <mergeCell ref="X93:AB93"/>
    <mergeCell ref="AC93:AG93"/>
    <mergeCell ref="AH93:AL93"/>
    <mergeCell ref="AM93:AQ93"/>
    <mergeCell ref="AR94:AV94"/>
    <mergeCell ref="AW94:BA94"/>
    <mergeCell ref="BB94:BF94"/>
    <mergeCell ref="BG94:BK94"/>
    <mergeCell ref="I94:M94"/>
    <mergeCell ref="N94:R94"/>
    <mergeCell ref="S94:W94"/>
    <mergeCell ref="X94:AB94"/>
    <mergeCell ref="AC94:AG94"/>
    <mergeCell ref="AH94:AL94"/>
    <mergeCell ref="AM94:AQ94"/>
    <mergeCell ref="AR95:AV95"/>
    <mergeCell ref="AW95:BA95"/>
    <mergeCell ref="BB95:BF95"/>
    <mergeCell ref="BG95:BK95"/>
    <mergeCell ref="I95:M95"/>
    <mergeCell ref="N95:R95"/>
    <mergeCell ref="S95:W95"/>
    <mergeCell ref="X95:AB95"/>
    <mergeCell ref="AC95:AG95"/>
    <mergeCell ref="AH95:AL95"/>
    <mergeCell ref="AM95:AQ95"/>
    <mergeCell ref="AR96:AV96"/>
    <mergeCell ref="AW96:BA96"/>
    <mergeCell ref="BB96:BF96"/>
    <mergeCell ref="BG96:BK96"/>
    <mergeCell ref="I96:M96"/>
    <mergeCell ref="N96:R96"/>
    <mergeCell ref="S96:W96"/>
    <mergeCell ref="X96:AB96"/>
    <mergeCell ref="AC96:AG96"/>
    <mergeCell ref="AH96:AL96"/>
    <mergeCell ref="AM96:AQ96"/>
    <mergeCell ref="AR97:AV97"/>
    <mergeCell ref="AW97:BA97"/>
    <mergeCell ref="BB97:BF97"/>
    <mergeCell ref="BG97:BK97"/>
    <mergeCell ref="I97:M97"/>
    <mergeCell ref="N97:R97"/>
    <mergeCell ref="S97:W97"/>
    <mergeCell ref="X97:AB97"/>
    <mergeCell ref="AC97:AG97"/>
    <mergeCell ref="AH97:AL97"/>
    <mergeCell ref="AM97:AQ97"/>
    <mergeCell ref="AR98:AV98"/>
    <mergeCell ref="AW98:BA98"/>
    <mergeCell ref="BB98:BF98"/>
    <mergeCell ref="BG98:BK98"/>
    <mergeCell ref="I98:M98"/>
    <mergeCell ref="N98:R98"/>
    <mergeCell ref="S98:W98"/>
    <mergeCell ref="X98:AB98"/>
    <mergeCell ref="AC98:AG98"/>
    <mergeCell ref="AH98:AL98"/>
    <mergeCell ref="AM98:AQ98"/>
    <mergeCell ref="AR99:AV99"/>
    <mergeCell ref="AW99:BA99"/>
    <mergeCell ref="BB99:BF99"/>
    <mergeCell ref="BG99:BK99"/>
    <mergeCell ref="I99:M99"/>
    <mergeCell ref="N99:R99"/>
    <mergeCell ref="S99:W99"/>
    <mergeCell ref="X99:AB99"/>
    <mergeCell ref="AC99:AG99"/>
    <mergeCell ref="AH99:AL99"/>
    <mergeCell ref="AM99:AQ99"/>
    <mergeCell ref="AR100:AV100"/>
    <mergeCell ref="AW100:BA100"/>
    <mergeCell ref="BB100:BF100"/>
    <mergeCell ref="BG100:BK100"/>
    <mergeCell ref="I100:M100"/>
    <mergeCell ref="N100:R100"/>
    <mergeCell ref="S100:W100"/>
    <mergeCell ref="X100:AB100"/>
    <mergeCell ref="AC100:AG100"/>
    <mergeCell ref="AH100:AL100"/>
    <mergeCell ref="AM100:AQ100"/>
    <mergeCell ref="AR101:AV101"/>
    <mergeCell ref="AW101:BA101"/>
    <mergeCell ref="BB101:BF101"/>
    <mergeCell ref="BG101:BK101"/>
    <mergeCell ref="I101:M101"/>
    <mergeCell ref="N101:R101"/>
    <mergeCell ref="S101:W101"/>
    <mergeCell ref="X101:AB101"/>
    <mergeCell ref="AC101:AG101"/>
    <mergeCell ref="AH101:AL101"/>
    <mergeCell ref="AM101:AQ101"/>
    <mergeCell ref="AR102:AV102"/>
    <mergeCell ref="AW102:BA102"/>
    <mergeCell ref="BB102:BF102"/>
    <mergeCell ref="BG102:BK102"/>
    <mergeCell ref="I102:M102"/>
    <mergeCell ref="N102:R102"/>
    <mergeCell ref="S102:W102"/>
    <mergeCell ref="X102:AB102"/>
    <mergeCell ref="AC102:AG102"/>
    <mergeCell ref="AH102:AL102"/>
    <mergeCell ref="AM102:AQ102"/>
    <mergeCell ref="AR103:AV103"/>
    <mergeCell ref="AW103:BA103"/>
    <mergeCell ref="BB103:BF103"/>
    <mergeCell ref="BG103:BK103"/>
    <mergeCell ref="I103:M103"/>
    <mergeCell ref="N103:R103"/>
    <mergeCell ref="S103:W103"/>
    <mergeCell ref="X103:AB103"/>
    <mergeCell ref="AC103:AG103"/>
    <mergeCell ref="AH103:AL103"/>
    <mergeCell ref="AM103:AQ103"/>
    <mergeCell ref="AR104:AV104"/>
    <mergeCell ref="AW104:BA104"/>
    <mergeCell ref="BB104:BF104"/>
    <mergeCell ref="BG104:BK104"/>
    <mergeCell ref="I104:M104"/>
    <mergeCell ref="N104:R104"/>
    <mergeCell ref="S104:W104"/>
    <mergeCell ref="X104:AB104"/>
    <mergeCell ref="AC104:AG104"/>
    <mergeCell ref="AH104:AL104"/>
    <mergeCell ref="AM104:AQ104"/>
    <mergeCell ref="AR105:AV105"/>
    <mergeCell ref="AW105:BA105"/>
    <mergeCell ref="BB105:BF105"/>
    <mergeCell ref="BG105:BK105"/>
    <mergeCell ref="I105:M105"/>
    <mergeCell ref="N105:R105"/>
    <mergeCell ref="S105:W105"/>
    <mergeCell ref="X105:AB105"/>
    <mergeCell ref="AC105:AG105"/>
    <mergeCell ref="AH105:AL105"/>
    <mergeCell ref="AM105:AQ105"/>
    <mergeCell ref="AR106:AV106"/>
    <mergeCell ref="AW106:BA106"/>
    <mergeCell ref="BB106:BF106"/>
    <mergeCell ref="BG106:BK106"/>
    <mergeCell ref="I106:M106"/>
    <mergeCell ref="N106:R106"/>
    <mergeCell ref="S106:W106"/>
    <mergeCell ref="X106:AB106"/>
    <mergeCell ref="AC106:AG106"/>
    <mergeCell ref="AH106:AL106"/>
    <mergeCell ref="AM106:AQ106"/>
    <mergeCell ref="AR107:AV107"/>
    <mergeCell ref="AW107:BA107"/>
    <mergeCell ref="BB107:BF107"/>
    <mergeCell ref="BG107:BK107"/>
    <mergeCell ref="I107:M107"/>
    <mergeCell ref="N107:R107"/>
    <mergeCell ref="S107:W107"/>
    <mergeCell ref="X107:AB107"/>
    <mergeCell ref="AC107:AG107"/>
    <mergeCell ref="AH107:AL107"/>
    <mergeCell ref="AM107:AQ107"/>
    <mergeCell ref="AR108:AV108"/>
    <mergeCell ref="AW108:BA108"/>
    <mergeCell ref="BB108:BF108"/>
    <mergeCell ref="BG108:BK108"/>
    <mergeCell ref="I108:M108"/>
    <mergeCell ref="N108:R108"/>
    <mergeCell ref="S108:W108"/>
    <mergeCell ref="X108:AB108"/>
    <mergeCell ref="AC108:AG108"/>
    <mergeCell ref="AH108:AL108"/>
    <mergeCell ref="AM108:AQ108"/>
    <mergeCell ref="AR109:AV109"/>
    <mergeCell ref="AW109:BA109"/>
    <mergeCell ref="BB109:BF109"/>
    <mergeCell ref="BG109:BK109"/>
    <mergeCell ref="I109:M109"/>
    <mergeCell ref="N109:R109"/>
    <mergeCell ref="S109:W109"/>
    <mergeCell ref="X109:AB109"/>
    <mergeCell ref="AC109:AG109"/>
    <mergeCell ref="AH109:AL109"/>
    <mergeCell ref="AM109:AQ109"/>
    <mergeCell ref="AR110:AV110"/>
    <mergeCell ref="AW110:BA110"/>
    <mergeCell ref="BB110:BF110"/>
    <mergeCell ref="BG110:BK110"/>
    <mergeCell ref="I110:M110"/>
    <mergeCell ref="N110:R110"/>
    <mergeCell ref="S110:W110"/>
    <mergeCell ref="X110:AB110"/>
    <mergeCell ref="AC110:AG110"/>
    <mergeCell ref="AH110:AL110"/>
    <mergeCell ref="AM110:AQ110"/>
    <mergeCell ref="AR111:AV111"/>
    <mergeCell ref="AW111:BA111"/>
    <mergeCell ref="BB111:BF111"/>
    <mergeCell ref="BG111:BK111"/>
    <mergeCell ref="I111:M111"/>
    <mergeCell ref="N111:R111"/>
    <mergeCell ref="S111:W111"/>
    <mergeCell ref="X111:AB111"/>
    <mergeCell ref="AC111:AG111"/>
    <mergeCell ref="AH111:AL111"/>
    <mergeCell ref="AM111:AQ111"/>
    <mergeCell ref="AR112:AV112"/>
    <mergeCell ref="AW112:BA112"/>
    <mergeCell ref="BB112:BF112"/>
    <mergeCell ref="BG112:BK112"/>
    <mergeCell ref="I112:M112"/>
    <mergeCell ref="N112:R112"/>
    <mergeCell ref="S112:W112"/>
    <mergeCell ref="X112:AB112"/>
    <mergeCell ref="AC112:AG112"/>
    <mergeCell ref="AH112:AL112"/>
    <mergeCell ref="AM112:AQ112"/>
    <mergeCell ref="AR113:AV113"/>
    <mergeCell ref="AW113:BA113"/>
    <mergeCell ref="BB113:BF113"/>
    <mergeCell ref="BG113:BK113"/>
    <mergeCell ref="I113:M113"/>
    <mergeCell ref="N113:R113"/>
    <mergeCell ref="S113:W113"/>
    <mergeCell ref="X113:AB113"/>
    <mergeCell ref="AC113:AG113"/>
    <mergeCell ref="AH113:AL113"/>
    <mergeCell ref="AM113:AQ113"/>
    <mergeCell ref="AR114:AV114"/>
    <mergeCell ref="AW114:BA114"/>
    <mergeCell ref="BB114:BF114"/>
    <mergeCell ref="BG114:BK114"/>
    <mergeCell ref="I114:M114"/>
    <mergeCell ref="N114:R114"/>
    <mergeCell ref="S114:W114"/>
    <mergeCell ref="X114:AB114"/>
    <mergeCell ref="AC114:AG114"/>
    <mergeCell ref="AH114:AL114"/>
    <mergeCell ref="AM114:AQ114"/>
    <mergeCell ref="AR115:AV115"/>
    <mergeCell ref="AW115:BA115"/>
    <mergeCell ref="BB115:BF115"/>
    <mergeCell ref="BG115:BK115"/>
    <mergeCell ref="I115:M115"/>
    <mergeCell ref="N115:R115"/>
    <mergeCell ref="S115:W115"/>
    <mergeCell ref="X115:AB115"/>
    <mergeCell ref="AC115:AG115"/>
    <mergeCell ref="AH115:AL115"/>
    <mergeCell ref="AM115:AQ115"/>
    <mergeCell ref="AR116:AV116"/>
    <mergeCell ref="AW116:BA116"/>
    <mergeCell ref="BB116:BF116"/>
    <mergeCell ref="BG116:BK116"/>
    <mergeCell ref="I116:M116"/>
    <mergeCell ref="N116:R116"/>
    <mergeCell ref="S116:W116"/>
    <mergeCell ref="X116:AB116"/>
    <mergeCell ref="AC116:AG116"/>
    <mergeCell ref="AH116:AL116"/>
    <mergeCell ref="AM116:AQ116"/>
    <mergeCell ref="AR117:AV117"/>
    <mergeCell ref="AW117:BA117"/>
    <mergeCell ref="BB117:BF117"/>
    <mergeCell ref="BG117:BK117"/>
    <mergeCell ref="I117:M117"/>
    <mergeCell ref="N117:R117"/>
    <mergeCell ref="S117:W117"/>
    <mergeCell ref="X117:AB117"/>
    <mergeCell ref="AC117:AG117"/>
    <mergeCell ref="AH117:AL117"/>
    <mergeCell ref="AM117:AQ117"/>
    <mergeCell ref="AR118:AV118"/>
    <mergeCell ref="AW118:BA118"/>
    <mergeCell ref="BB118:BF118"/>
    <mergeCell ref="BG118:BK118"/>
    <mergeCell ref="I118:M118"/>
    <mergeCell ref="N118:R118"/>
    <mergeCell ref="S118:W118"/>
    <mergeCell ref="X118:AB118"/>
    <mergeCell ref="AC118:AG118"/>
    <mergeCell ref="AH118:AL118"/>
    <mergeCell ref="AM118:AQ118"/>
    <mergeCell ref="AR119:AV119"/>
    <mergeCell ref="AW119:BA119"/>
    <mergeCell ref="BB119:BF119"/>
    <mergeCell ref="BG119:BK119"/>
    <mergeCell ref="I119:M119"/>
    <mergeCell ref="N119:R119"/>
    <mergeCell ref="S119:W119"/>
    <mergeCell ref="X119:AB119"/>
    <mergeCell ref="AC119:AG119"/>
    <mergeCell ref="AH119:AL119"/>
    <mergeCell ref="AM119:AQ119"/>
    <mergeCell ref="AR120:AV120"/>
    <mergeCell ref="AW120:BA120"/>
    <mergeCell ref="BB120:BF120"/>
    <mergeCell ref="BG120:BK120"/>
    <mergeCell ref="I120:M120"/>
    <mergeCell ref="N120:R120"/>
    <mergeCell ref="S120:W120"/>
    <mergeCell ref="X120:AB120"/>
    <mergeCell ref="AC120:AG120"/>
    <mergeCell ref="AH120:AL120"/>
    <mergeCell ref="AM120:AQ120"/>
    <mergeCell ref="AR121:AV121"/>
    <mergeCell ref="AW121:BA121"/>
    <mergeCell ref="BB121:BF121"/>
    <mergeCell ref="BG121:BK121"/>
    <mergeCell ref="I121:M121"/>
    <mergeCell ref="N121:R121"/>
    <mergeCell ref="S121:W121"/>
    <mergeCell ref="X121:AB121"/>
    <mergeCell ref="AC121:AG121"/>
    <mergeCell ref="AH121:AL121"/>
    <mergeCell ref="AM121:AQ121"/>
    <mergeCell ref="AR122:AV122"/>
    <mergeCell ref="AW122:BA122"/>
    <mergeCell ref="BB122:BF122"/>
    <mergeCell ref="BG122:BK122"/>
    <mergeCell ref="I122:M122"/>
    <mergeCell ref="N122:R122"/>
    <mergeCell ref="S122:W122"/>
    <mergeCell ref="X122:AB122"/>
    <mergeCell ref="AC122:AG122"/>
    <mergeCell ref="AH122:AL122"/>
    <mergeCell ref="AM122:AQ122"/>
    <mergeCell ref="AR123:AV123"/>
    <mergeCell ref="AW123:BA123"/>
    <mergeCell ref="BB123:BF123"/>
    <mergeCell ref="BG123:BK123"/>
    <mergeCell ref="I123:M123"/>
    <mergeCell ref="N123:R123"/>
    <mergeCell ref="S123:W123"/>
    <mergeCell ref="X123:AB123"/>
    <mergeCell ref="AC123:AG123"/>
    <mergeCell ref="AH123:AL123"/>
    <mergeCell ref="AM123:AQ123"/>
    <mergeCell ref="AR124:AV124"/>
    <mergeCell ref="AW124:BA124"/>
    <mergeCell ref="BB124:BF124"/>
    <mergeCell ref="BG124:BK124"/>
    <mergeCell ref="I124:M124"/>
    <mergeCell ref="N124:R124"/>
    <mergeCell ref="S124:W124"/>
    <mergeCell ref="X124:AB124"/>
    <mergeCell ref="AC124:AG124"/>
    <mergeCell ref="AH124:AL124"/>
    <mergeCell ref="AM124:AQ124"/>
    <mergeCell ref="AR125:AV125"/>
    <mergeCell ref="AW125:BA125"/>
    <mergeCell ref="BB125:BF125"/>
    <mergeCell ref="BG125:BK125"/>
    <mergeCell ref="I125:M125"/>
    <mergeCell ref="N125:R125"/>
    <mergeCell ref="S125:W125"/>
    <mergeCell ref="X125:AB125"/>
    <mergeCell ref="AC125:AG125"/>
    <mergeCell ref="AH125:AL125"/>
    <mergeCell ref="AM125:AQ125"/>
    <mergeCell ref="AR126:AV126"/>
    <mergeCell ref="AW126:BA126"/>
    <mergeCell ref="BB126:BF126"/>
    <mergeCell ref="BG126:BK126"/>
    <mergeCell ref="I126:M126"/>
    <mergeCell ref="N126:R126"/>
    <mergeCell ref="S126:W126"/>
    <mergeCell ref="X126:AB126"/>
    <mergeCell ref="AC126:AG126"/>
    <mergeCell ref="AH126:AL126"/>
    <mergeCell ref="AM126:AQ126"/>
    <mergeCell ref="AR127:AV127"/>
    <mergeCell ref="AW127:BA127"/>
    <mergeCell ref="BB127:BF127"/>
    <mergeCell ref="BG127:BK127"/>
    <mergeCell ref="I127:M127"/>
    <mergeCell ref="N127:R127"/>
    <mergeCell ref="S127:W127"/>
    <mergeCell ref="X127:AB127"/>
    <mergeCell ref="AC127:AG127"/>
    <mergeCell ref="AH127:AL127"/>
    <mergeCell ref="AM127:AQ127"/>
    <mergeCell ref="AR128:AV128"/>
    <mergeCell ref="AW128:BA128"/>
    <mergeCell ref="BB128:BF128"/>
    <mergeCell ref="BG128:BK128"/>
    <mergeCell ref="I128:M128"/>
    <mergeCell ref="N128:R128"/>
    <mergeCell ref="S128:W128"/>
    <mergeCell ref="X128:AB128"/>
    <mergeCell ref="AC128:AG128"/>
    <mergeCell ref="AH128:AL128"/>
    <mergeCell ref="AM128:AQ128"/>
    <mergeCell ref="AR129:AV129"/>
    <mergeCell ref="AW129:BA129"/>
    <mergeCell ref="BB129:BF129"/>
    <mergeCell ref="BG129:BK129"/>
    <mergeCell ref="I129:M129"/>
    <mergeCell ref="N129:R129"/>
    <mergeCell ref="S129:W129"/>
    <mergeCell ref="X129:AB129"/>
    <mergeCell ref="AC129:AG129"/>
    <mergeCell ref="AH129:AL129"/>
    <mergeCell ref="AM129:AQ129"/>
    <mergeCell ref="AR130:AV130"/>
    <mergeCell ref="AW130:BA130"/>
    <mergeCell ref="BB130:BF130"/>
    <mergeCell ref="BG130:BK130"/>
    <mergeCell ref="I130:M130"/>
    <mergeCell ref="N130:R130"/>
    <mergeCell ref="S130:W130"/>
    <mergeCell ref="X130:AB130"/>
    <mergeCell ref="AC130:AG130"/>
    <mergeCell ref="AH130:AL130"/>
    <mergeCell ref="AM130:AQ130"/>
    <mergeCell ref="AR131:AV131"/>
    <mergeCell ref="AW131:BA131"/>
    <mergeCell ref="BB131:BF131"/>
    <mergeCell ref="BG131:BK131"/>
    <mergeCell ref="I131:M131"/>
    <mergeCell ref="N131:R131"/>
    <mergeCell ref="S131:W131"/>
    <mergeCell ref="X131:AB131"/>
    <mergeCell ref="AC131:AG131"/>
    <mergeCell ref="AH131:AL131"/>
    <mergeCell ref="AM131:AQ131"/>
    <mergeCell ref="AR132:AV132"/>
    <mergeCell ref="AW132:BA132"/>
    <mergeCell ref="BB132:BF132"/>
    <mergeCell ref="BG132:BK132"/>
    <mergeCell ref="I132:M132"/>
    <mergeCell ref="N132:R132"/>
    <mergeCell ref="S132:W132"/>
    <mergeCell ref="X132:AB132"/>
    <mergeCell ref="AC132:AG132"/>
    <mergeCell ref="AH132:AL132"/>
    <mergeCell ref="AM132:AQ132"/>
    <mergeCell ref="AR133:AV133"/>
    <mergeCell ref="AW133:BA133"/>
    <mergeCell ref="BB133:BF133"/>
    <mergeCell ref="BG133:BK133"/>
    <mergeCell ref="I133:M133"/>
    <mergeCell ref="N133:R133"/>
    <mergeCell ref="S133:W133"/>
    <mergeCell ref="X133:AB133"/>
    <mergeCell ref="AC133:AG133"/>
    <mergeCell ref="AH133:AL133"/>
    <mergeCell ref="AM133:AQ133"/>
    <mergeCell ref="AR134:AV134"/>
    <mergeCell ref="AW134:BA134"/>
    <mergeCell ref="BB134:BF134"/>
    <mergeCell ref="BG134:BK134"/>
    <mergeCell ref="I134:M134"/>
    <mergeCell ref="N134:R134"/>
    <mergeCell ref="S134:W134"/>
    <mergeCell ref="X134:AB134"/>
    <mergeCell ref="AC134:AG134"/>
    <mergeCell ref="AH134:AL134"/>
    <mergeCell ref="AM134:AQ134"/>
    <mergeCell ref="AR135:AV135"/>
    <mergeCell ref="AW135:BA135"/>
    <mergeCell ref="BB135:BF135"/>
    <mergeCell ref="BG135:BK135"/>
    <mergeCell ref="I135:M135"/>
    <mergeCell ref="N135:R135"/>
    <mergeCell ref="S135:W135"/>
    <mergeCell ref="X135:AB135"/>
    <mergeCell ref="AC135:AG135"/>
    <mergeCell ref="AH135:AL135"/>
    <mergeCell ref="AM135:AQ135"/>
    <mergeCell ref="AR136:AV136"/>
    <mergeCell ref="AW136:BA136"/>
    <mergeCell ref="BB136:BF136"/>
    <mergeCell ref="BG136:BK136"/>
    <mergeCell ref="I136:M136"/>
    <mergeCell ref="N136:R136"/>
    <mergeCell ref="S136:W136"/>
    <mergeCell ref="X136:AB136"/>
    <mergeCell ref="AC136:AG136"/>
    <mergeCell ref="AH136:AL136"/>
    <mergeCell ref="AM136:AQ136"/>
    <mergeCell ref="AR137:AV137"/>
    <mergeCell ref="AW137:BA137"/>
    <mergeCell ref="BB137:BF137"/>
    <mergeCell ref="BG137:BK137"/>
    <mergeCell ref="I137:M137"/>
    <mergeCell ref="N137:R137"/>
    <mergeCell ref="S137:W137"/>
    <mergeCell ref="X137:AB137"/>
    <mergeCell ref="AC137:AG137"/>
    <mergeCell ref="AH137:AL137"/>
    <mergeCell ref="AM137:AQ137"/>
    <mergeCell ref="AR138:AV138"/>
    <mergeCell ref="AW138:BA138"/>
    <mergeCell ref="BB138:BF138"/>
    <mergeCell ref="BG138:BK138"/>
    <mergeCell ref="I138:M138"/>
    <mergeCell ref="N138:R138"/>
    <mergeCell ref="S138:W138"/>
    <mergeCell ref="X138:AB138"/>
    <mergeCell ref="AC138:AG138"/>
    <mergeCell ref="AH138:AL138"/>
    <mergeCell ref="AM138:AQ138"/>
    <mergeCell ref="AR139:AV139"/>
    <mergeCell ref="AW139:BA139"/>
    <mergeCell ref="BB139:BF139"/>
    <mergeCell ref="BG139:BK139"/>
    <mergeCell ref="I139:M139"/>
    <mergeCell ref="N139:R139"/>
    <mergeCell ref="S139:W139"/>
    <mergeCell ref="X139:AB139"/>
    <mergeCell ref="AC139:AG139"/>
    <mergeCell ref="AH139:AL139"/>
    <mergeCell ref="AM139:AQ139"/>
    <mergeCell ref="AR140:AV140"/>
    <mergeCell ref="AW140:BA140"/>
    <mergeCell ref="BB140:BF140"/>
    <mergeCell ref="BG140:BK140"/>
    <mergeCell ref="I140:M140"/>
    <mergeCell ref="N140:R140"/>
    <mergeCell ref="S140:W140"/>
    <mergeCell ref="X140:AB140"/>
    <mergeCell ref="AC140:AG140"/>
    <mergeCell ref="AH140:AL140"/>
    <mergeCell ref="AM140:AQ140"/>
    <mergeCell ref="AR141:AV141"/>
    <mergeCell ref="AW141:BA141"/>
    <mergeCell ref="BB141:BF141"/>
    <mergeCell ref="BG141:BK141"/>
    <mergeCell ref="I141:M141"/>
    <mergeCell ref="N141:R141"/>
    <mergeCell ref="S141:W141"/>
    <mergeCell ref="X141:AB141"/>
    <mergeCell ref="AC141:AG141"/>
    <mergeCell ref="AH141:AL141"/>
    <mergeCell ref="AM141:AQ141"/>
    <mergeCell ref="AR142:AV142"/>
    <mergeCell ref="AW142:BA142"/>
    <mergeCell ref="BB142:BF142"/>
    <mergeCell ref="BG142:BK142"/>
    <mergeCell ref="I142:M142"/>
    <mergeCell ref="N142:R142"/>
    <mergeCell ref="S142:W142"/>
    <mergeCell ref="X142:AB142"/>
    <mergeCell ref="AC142:AG142"/>
    <mergeCell ref="AH142:AL142"/>
    <mergeCell ref="AM142:AQ142"/>
    <mergeCell ref="AR143:AV143"/>
    <mergeCell ref="AW143:BA143"/>
    <mergeCell ref="BB143:BF143"/>
    <mergeCell ref="BG143:BK143"/>
    <mergeCell ref="I143:M143"/>
    <mergeCell ref="N143:R143"/>
    <mergeCell ref="S143:W143"/>
    <mergeCell ref="X143:AB143"/>
    <mergeCell ref="AC143:AG143"/>
    <mergeCell ref="AH143:AL143"/>
    <mergeCell ref="AM143:AQ143"/>
    <mergeCell ref="AR144:AV144"/>
    <mergeCell ref="AW144:BA144"/>
    <mergeCell ref="BB144:BF144"/>
    <mergeCell ref="BG144:BK144"/>
    <mergeCell ref="I144:M144"/>
    <mergeCell ref="N144:R144"/>
    <mergeCell ref="S144:W144"/>
    <mergeCell ref="X144:AB144"/>
    <mergeCell ref="AC144:AG144"/>
    <mergeCell ref="AH144:AL144"/>
    <mergeCell ref="AM144:AQ144"/>
    <mergeCell ref="AR145:AV145"/>
    <mergeCell ref="AW145:BA145"/>
    <mergeCell ref="BB145:BF145"/>
    <mergeCell ref="BG145:BK145"/>
    <mergeCell ref="I145:M145"/>
    <mergeCell ref="N145:R145"/>
    <mergeCell ref="S145:W145"/>
    <mergeCell ref="X145:AB145"/>
    <mergeCell ref="AC145:AG145"/>
    <mergeCell ref="AH145:AL145"/>
    <mergeCell ref="AM145:AQ145"/>
    <mergeCell ref="AR146:AV146"/>
    <mergeCell ref="AW146:BA146"/>
    <mergeCell ref="BB146:BF146"/>
    <mergeCell ref="BG146:BK146"/>
    <mergeCell ref="I146:M146"/>
    <mergeCell ref="N146:R146"/>
    <mergeCell ref="S146:W146"/>
    <mergeCell ref="X146:AB146"/>
    <mergeCell ref="AC146:AG146"/>
    <mergeCell ref="AH146:AL146"/>
    <mergeCell ref="AM146:AQ146"/>
    <mergeCell ref="AR147:AV147"/>
    <mergeCell ref="AW147:BA147"/>
    <mergeCell ref="BB147:BF147"/>
    <mergeCell ref="BG147:BK147"/>
    <mergeCell ref="I147:M147"/>
    <mergeCell ref="N147:R147"/>
    <mergeCell ref="S147:W147"/>
    <mergeCell ref="X147:AB147"/>
    <mergeCell ref="AC147:AG147"/>
    <mergeCell ref="AH147:AL147"/>
    <mergeCell ref="AM147:AQ147"/>
    <mergeCell ref="AR148:AV148"/>
    <mergeCell ref="AW148:BA148"/>
    <mergeCell ref="BB148:BF148"/>
    <mergeCell ref="BG148:BK148"/>
    <mergeCell ref="I148:M148"/>
    <mergeCell ref="N148:R148"/>
    <mergeCell ref="S148:W148"/>
    <mergeCell ref="X148:AB148"/>
    <mergeCell ref="AC148:AG148"/>
    <mergeCell ref="AH148:AL148"/>
    <mergeCell ref="AM148:AQ148"/>
    <mergeCell ref="AR149:AV149"/>
    <mergeCell ref="AW149:BA149"/>
    <mergeCell ref="BB149:BF149"/>
    <mergeCell ref="BG149:BK149"/>
    <mergeCell ref="I149:M149"/>
    <mergeCell ref="N149:R149"/>
    <mergeCell ref="S149:W149"/>
    <mergeCell ref="X149:AB149"/>
    <mergeCell ref="AC149:AG149"/>
    <mergeCell ref="AH149:AL149"/>
    <mergeCell ref="AM149:AQ149"/>
    <mergeCell ref="AR150:AV150"/>
    <mergeCell ref="AW150:BA150"/>
    <mergeCell ref="BB150:BF150"/>
    <mergeCell ref="BG150:BK150"/>
    <mergeCell ref="I150:M150"/>
    <mergeCell ref="N150:R150"/>
    <mergeCell ref="S150:W150"/>
    <mergeCell ref="X150:AB150"/>
    <mergeCell ref="AC150:AG150"/>
    <mergeCell ref="AH150:AL150"/>
    <mergeCell ref="AM150:AQ150"/>
    <mergeCell ref="AR151:AV151"/>
    <mergeCell ref="AW151:BA151"/>
    <mergeCell ref="BB151:BF151"/>
    <mergeCell ref="BG151:BK151"/>
    <mergeCell ref="I151:M151"/>
    <mergeCell ref="N151:R151"/>
    <mergeCell ref="S151:W151"/>
    <mergeCell ref="X151:AB151"/>
    <mergeCell ref="AC151:AG151"/>
    <mergeCell ref="AH151:AL151"/>
    <mergeCell ref="AM151:AQ151"/>
    <mergeCell ref="AR152:AV152"/>
    <mergeCell ref="AW152:BA152"/>
    <mergeCell ref="BB152:BF152"/>
    <mergeCell ref="BG152:BK152"/>
    <mergeCell ref="I152:M152"/>
    <mergeCell ref="N152:R152"/>
    <mergeCell ref="S152:W152"/>
    <mergeCell ref="X152:AB152"/>
    <mergeCell ref="AC152:AG152"/>
    <mergeCell ref="AH152:AL152"/>
    <mergeCell ref="AM152:AQ152"/>
    <mergeCell ref="AR153:AV153"/>
    <mergeCell ref="AW153:BA153"/>
    <mergeCell ref="BB153:BF153"/>
    <mergeCell ref="BG153:BK153"/>
    <mergeCell ref="I153:M153"/>
    <mergeCell ref="N153:R153"/>
    <mergeCell ref="S153:W153"/>
    <mergeCell ref="X153:AB153"/>
    <mergeCell ref="AC153:AG153"/>
    <mergeCell ref="AH153:AL153"/>
    <mergeCell ref="AM153:AQ153"/>
    <mergeCell ref="AR154:AV154"/>
    <mergeCell ref="AW154:BA154"/>
    <mergeCell ref="BB154:BF154"/>
    <mergeCell ref="BG154:BK154"/>
    <mergeCell ref="I154:M154"/>
    <mergeCell ref="N154:R154"/>
    <mergeCell ref="S154:W154"/>
    <mergeCell ref="X154:AB154"/>
    <mergeCell ref="AC154:AG154"/>
    <mergeCell ref="AH154:AL154"/>
    <mergeCell ref="AM154:AQ154"/>
    <mergeCell ref="AR155:AV155"/>
    <mergeCell ref="AW155:BA155"/>
    <mergeCell ref="BB155:BF155"/>
    <mergeCell ref="BG155:BK155"/>
    <mergeCell ref="I155:M155"/>
    <mergeCell ref="N155:R155"/>
    <mergeCell ref="S155:W155"/>
    <mergeCell ref="X155:AB155"/>
    <mergeCell ref="AC155:AG155"/>
    <mergeCell ref="AH155:AL155"/>
    <mergeCell ref="AM155:AQ155"/>
    <mergeCell ref="AR156:AV156"/>
    <mergeCell ref="AW156:BA156"/>
    <mergeCell ref="BB156:BF156"/>
    <mergeCell ref="BG156:BK156"/>
    <mergeCell ref="I156:M156"/>
    <mergeCell ref="N156:R156"/>
    <mergeCell ref="S156:W156"/>
    <mergeCell ref="X156:AB156"/>
    <mergeCell ref="AC156:AG156"/>
    <mergeCell ref="AH156:AL156"/>
    <mergeCell ref="AM156:AQ156"/>
    <mergeCell ref="AR157:AV157"/>
    <mergeCell ref="AW157:BA157"/>
    <mergeCell ref="BB157:BF157"/>
    <mergeCell ref="BG157:BK157"/>
    <mergeCell ref="I157:M157"/>
    <mergeCell ref="N157:R157"/>
    <mergeCell ref="S157:W157"/>
    <mergeCell ref="X157:AB157"/>
    <mergeCell ref="AC157:AG157"/>
    <mergeCell ref="AH157:AL157"/>
    <mergeCell ref="AM157:AQ157"/>
    <mergeCell ref="AR158:AV158"/>
    <mergeCell ref="AW158:BA158"/>
    <mergeCell ref="BB158:BF158"/>
    <mergeCell ref="BG158:BK158"/>
    <mergeCell ref="I158:M158"/>
    <mergeCell ref="N158:R158"/>
    <mergeCell ref="S158:W158"/>
    <mergeCell ref="X158:AB158"/>
    <mergeCell ref="AC158:AG158"/>
    <mergeCell ref="AH158:AL158"/>
    <mergeCell ref="AM158:AQ158"/>
    <mergeCell ref="AR208:AV208"/>
    <mergeCell ref="AW208:BA208"/>
    <mergeCell ref="BB208:BF208"/>
    <mergeCell ref="BG208:BK208"/>
    <mergeCell ref="I208:M208"/>
    <mergeCell ref="N208:R208"/>
    <mergeCell ref="S208:W208"/>
    <mergeCell ref="X208:AB208"/>
    <mergeCell ref="AC208:AG208"/>
    <mergeCell ref="AH208:AL208"/>
    <mergeCell ref="AM208:AQ208"/>
    <mergeCell ref="AR209:AV209"/>
    <mergeCell ref="AW209:BA209"/>
    <mergeCell ref="BB209:BF209"/>
    <mergeCell ref="BG209:BK209"/>
    <mergeCell ref="I209:M209"/>
    <mergeCell ref="N209:R209"/>
    <mergeCell ref="S209:W209"/>
    <mergeCell ref="X209:AB209"/>
    <mergeCell ref="AC209:AG209"/>
    <mergeCell ref="AH209:AL209"/>
    <mergeCell ref="AM209:AQ209"/>
    <mergeCell ref="AR210:AV210"/>
    <mergeCell ref="AW210:BA210"/>
    <mergeCell ref="BB210:BF210"/>
    <mergeCell ref="BG210:BK210"/>
    <mergeCell ref="I210:M210"/>
    <mergeCell ref="N210:R210"/>
    <mergeCell ref="S210:W210"/>
    <mergeCell ref="X210:AB210"/>
    <mergeCell ref="AC210:AG210"/>
    <mergeCell ref="AH210:AL210"/>
    <mergeCell ref="AM210:AQ210"/>
    <mergeCell ref="AR211:AV211"/>
    <mergeCell ref="AW211:BA211"/>
    <mergeCell ref="BB211:BF211"/>
    <mergeCell ref="BG211:BK211"/>
    <mergeCell ref="I211:M211"/>
    <mergeCell ref="N211:R211"/>
    <mergeCell ref="S211:W211"/>
    <mergeCell ref="X211:AB211"/>
    <mergeCell ref="AC211:AG211"/>
    <mergeCell ref="AH211:AL211"/>
    <mergeCell ref="AM211:AQ211"/>
    <mergeCell ref="AR212:AV212"/>
    <mergeCell ref="AW212:BA212"/>
    <mergeCell ref="BB212:BF212"/>
    <mergeCell ref="BG212:BK212"/>
    <mergeCell ref="I212:M212"/>
    <mergeCell ref="N212:R212"/>
    <mergeCell ref="S212:W212"/>
    <mergeCell ref="X212:AB212"/>
    <mergeCell ref="AC212:AG212"/>
    <mergeCell ref="AH212:AL212"/>
    <mergeCell ref="AM212:AQ212"/>
    <mergeCell ref="AR213:AV213"/>
    <mergeCell ref="AW213:BA213"/>
    <mergeCell ref="BB213:BF213"/>
    <mergeCell ref="BG213:BK213"/>
    <mergeCell ref="I213:M213"/>
    <mergeCell ref="N213:R213"/>
    <mergeCell ref="S213:W213"/>
    <mergeCell ref="X213:AB213"/>
    <mergeCell ref="AC213:AG213"/>
    <mergeCell ref="AH213:AL213"/>
    <mergeCell ref="AM213:AQ213"/>
    <mergeCell ref="AR214:AV214"/>
    <mergeCell ref="AW214:BA214"/>
    <mergeCell ref="BB214:BF214"/>
    <mergeCell ref="BG214:BK214"/>
    <mergeCell ref="I214:M214"/>
    <mergeCell ref="N214:R214"/>
    <mergeCell ref="S214:W214"/>
    <mergeCell ref="X214:AB214"/>
    <mergeCell ref="AC214:AG214"/>
    <mergeCell ref="AH214:AL214"/>
    <mergeCell ref="AM214:AQ214"/>
    <mergeCell ref="AR11:AV11"/>
    <mergeCell ref="AW11:BA11"/>
    <mergeCell ref="BB11:BF11"/>
    <mergeCell ref="BG11:BK11"/>
    <mergeCell ref="I11:M11"/>
    <mergeCell ref="N11:R11"/>
    <mergeCell ref="S11:W11"/>
    <mergeCell ref="X11:AB11"/>
    <mergeCell ref="AC11:AG11"/>
    <mergeCell ref="AH11:AL11"/>
    <mergeCell ref="AM11:AQ11"/>
    <mergeCell ref="AR12:AV12"/>
    <mergeCell ref="AW12:BA12"/>
    <mergeCell ref="BB12:BF12"/>
    <mergeCell ref="BG12:BK12"/>
    <mergeCell ref="I12:M12"/>
    <mergeCell ref="N12:R12"/>
    <mergeCell ref="S12:W12"/>
    <mergeCell ref="X12:AB12"/>
    <mergeCell ref="AC12:AG12"/>
    <mergeCell ref="AH12:AL12"/>
    <mergeCell ref="AM12:AQ12"/>
    <mergeCell ref="AR13:AV13"/>
    <mergeCell ref="AW13:BA13"/>
    <mergeCell ref="BB13:BF13"/>
    <mergeCell ref="BG13:BK13"/>
    <mergeCell ref="I13:M13"/>
    <mergeCell ref="N13:R13"/>
    <mergeCell ref="S13:W13"/>
    <mergeCell ref="X13:AB13"/>
    <mergeCell ref="AC13:AG13"/>
    <mergeCell ref="AH13:AL13"/>
    <mergeCell ref="AM13:AQ13"/>
    <mergeCell ref="AM216:AQ216"/>
    <mergeCell ref="AR216:AV216"/>
    <mergeCell ref="AW216:BA216"/>
    <mergeCell ref="BB216:BF216"/>
    <mergeCell ref="BG216:BK216"/>
    <mergeCell ref="AR219:AV219"/>
    <mergeCell ref="AW219:BA219"/>
    <mergeCell ref="BB219:BF219"/>
    <mergeCell ref="BG219:BK219"/>
    <mergeCell ref="I219:M219"/>
    <mergeCell ref="N219:R219"/>
    <mergeCell ref="S219:W219"/>
    <mergeCell ref="X219:AB219"/>
    <mergeCell ref="AC219:AG219"/>
    <mergeCell ref="AH219:AL219"/>
    <mergeCell ref="AM219:AQ219"/>
    <mergeCell ref="AR224:AV224"/>
    <mergeCell ref="AW224:BA224"/>
    <mergeCell ref="BB224:BF224"/>
    <mergeCell ref="BG224:BK224"/>
    <mergeCell ref="I224:M224"/>
    <mergeCell ref="N224:R224"/>
    <mergeCell ref="S224:W224"/>
    <mergeCell ref="X224:AB224"/>
    <mergeCell ref="AC224:AG224"/>
    <mergeCell ref="AH224:AL224"/>
    <mergeCell ref="AM224:AQ224"/>
    <mergeCell ref="AR225:AV225"/>
    <mergeCell ref="AW225:BA225"/>
    <mergeCell ref="BB225:BF225"/>
    <mergeCell ref="BG225:BK225"/>
    <mergeCell ref="I225:M225"/>
    <mergeCell ref="N225:R225"/>
    <mergeCell ref="S225:W225"/>
    <mergeCell ref="X225:AB225"/>
    <mergeCell ref="AC225:AG225"/>
    <mergeCell ref="AH225:AL225"/>
    <mergeCell ref="AM225:AQ225"/>
    <mergeCell ref="AR226:AV226"/>
    <mergeCell ref="AW226:BA226"/>
    <mergeCell ref="BB226:BF226"/>
    <mergeCell ref="BG226:BK226"/>
    <mergeCell ref="I226:M226"/>
    <mergeCell ref="N226:R226"/>
    <mergeCell ref="S226:W226"/>
    <mergeCell ref="X226:AB226"/>
    <mergeCell ref="AC226:AG226"/>
    <mergeCell ref="AH226:AL226"/>
    <mergeCell ref="AM226:AQ226"/>
    <mergeCell ref="AR227:AV227"/>
    <mergeCell ref="AW227:BA227"/>
    <mergeCell ref="BB227:BF227"/>
    <mergeCell ref="BG227:BK227"/>
    <mergeCell ref="I227:M227"/>
    <mergeCell ref="N227:R227"/>
    <mergeCell ref="S227:W227"/>
    <mergeCell ref="X227:AB227"/>
    <mergeCell ref="AC227:AG227"/>
    <mergeCell ref="AH227:AL227"/>
    <mergeCell ref="AM227:AQ227"/>
    <mergeCell ref="AR228:AV228"/>
    <mergeCell ref="AW228:BA228"/>
    <mergeCell ref="BB228:BF228"/>
    <mergeCell ref="BG228:BK228"/>
    <mergeCell ref="I228:M228"/>
    <mergeCell ref="N228:R228"/>
    <mergeCell ref="S228:W228"/>
    <mergeCell ref="X228:AB228"/>
    <mergeCell ref="AC228:AG228"/>
    <mergeCell ref="AH228:AL228"/>
    <mergeCell ref="AM228:AQ228"/>
    <mergeCell ref="AR229:AV229"/>
    <mergeCell ref="AW229:BA229"/>
    <mergeCell ref="BB229:BF229"/>
    <mergeCell ref="BG229:BK229"/>
    <mergeCell ref="I229:M229"/>
    <mergeCell ref="N229:R229"/>
    <mergeCell ref="S229:W229"/>
    <mergeCell ref="X229:AB229"/>
    <mergeCell ref="AC229:AG229"/>
    <mergeCell ref="AH229:AL229"/>
    <mergeCell ref="AM229:AQ229"/>
    <mergeCell ref="AR230:AV230"/>
    <mergeCell ref="AW230:BA230"/>
    <mergeCell ref="BB230:BF230"/>
    <mergeCell ref="BG230:BK230"/>
    <mergeCell ref="I230:M230"/>
    <mergeCell ref="N230:R230"/>
    <mergeCell ref="S230:W230"/>
    <mergeCell ref="X230:AB230"/>
    <mergeCell ref="AC230:AG230"/>
    <mergeCell ref="AH230:AL230"/>
    <mergeCell ref="AM230:AQ230"/>
    <mergeCell ref="AR231:AV231"/>
    <mergeCell ref="AW231:BA231"/>
    <mergeCell ref="BB231:BF231"/>
    <mergeCell ref="BG231:BK231"/>
    <mergeCell ref="I231:M231"/>
    <mergeCell ref="N231:R231"/>
    <mergeCell ref="S231:W231"/>
    <mergeCell ref="X231:AB231"/>
    <mergeCell ref="AC231:AG231"/>
    <mergeCell ref="AH231:AL231"/>
    <mergeCell ref="AM231:AQ231"/>
    <mergeCell ref="AR232:AV232"/>
    <mergeCell ref="AW232:BA232"/>
    <mergeCell ref="BB232:BF232"/>
    <mergeCell ref="BG232:BK232"/>
    <mergeCell ref="I232:M232"/>
    <mergeCell ref="N232:R232"/>
    <mergeCell ref="S232:W232"/>
    <mergeCell ref="X232:AB232"/>
    <mergeCell ref="AC232:AG232"/>
    <mergeCell ref="AH232:AL232"/>
    <mergeCell ref="AM232:AQ232"/>
    <mergeCell ref="AR233:AV233"/>
    <mergeCell ref="AW233:BA233"/>
    <mergeCell ref="BB233:BF233"/>
    <mergeCell ref="BG233:BK233"/>
    <mergeCell ref="I233:M233"/>
    <mergeCell ref="N233:R233"/>
    <mergeCell ref="S233:W233"/>
    <mergeCell ref="X233:AB233"/>
    <mergeCell ref="AC233:AG233"/>
    <mergeCell ref="AH233:AL233"/>
    <mergeCell ref="AM233:AQ233"/>
    <mergeCell ref="AR234:AV234"/>
    <mergeCell ref="AW234:BA234"/>
    <mergeCell ref="BB234:BF234"/>
    <mergeCell ref="BG234:BK234"/>
    <mergeCell ref="I234:M234"/>
    <mergeCell ref="N234:R234"/>
    <mergeCell ref="S234:W234"/>
    <mergeCell ref="X234:AB234"/>
    <mergeCell ref="AC234:AG234"/>
    <mergeCell ref="AH234:AL234"/>
    <mergeCell ref="AM234:AQ234"/>
    <mergeCell ref="AR235:AV235"/>
    <mergeCell ref="AW235:BA235"/>
    <mergeCell ref="BB235:BF235"/>
    <mergeCell ref="BG235:BK235"/>
    <mergeCell ref="I235:M235"/>
    <mergeCell ref="N235:R235"/>
    <mergeCell ref="S235:W235"/>
    <mergeCell ref="X235:AB235"/>
    <mergeCell ref="AC235:AG235"/>
    <mergeCell ref="AH235:AL235"/>
    <mergeCell ref="AM235:AQ235"/>
    <mergeCell ref="AR236:AV236"/>
    <mergeCell ref="AW236:BA236"/>
    <mergeCell ref="BB236:BF236"/>
    <mergeCell ref="BG236:BK236"/>
    <mergeCell ref="I236:M236"/>
    <mergeCell ref="N236:R236"/>
    <mergeCell ref="S236:W236"/>
    <mergeCell ref="X236:AB236"/>
    <mergeCell ref="AC236:AG236"/>
    <mergeCell ref="AH236:AL236"/>
    <mergeCell ref="AM236:AQ236"/>
    <mergeCell ref="AR237:AV237"/>
    <mergeCell ref="AW237:BA237"/>
    <mergeCell ref="BB237:BF237"/>
    <mergeCell ref="BG237:BK237"/>
    <mergeCell ref="I237:M237"/>
    <mergeCell ref="N237:R237"/>
    <mergeCell ref="S237:W237"/>
    <mergeCell ref="X237:AB237"/>
    <mergeCell ref="AC237:AG237"/>
    <mergeCell ref="AH237:AL237"/>
    <mergeCell ref="AM237:AQ237"/>
    <mergeCell ref="AR238:AV238"/>
    <mergeCell ref="AW238:BA238"/>
    <mergeCell ref="BB238:BF238"/>
    <mergeCell ref="BG238:BK238"/>
    <mergeCell ref="I238:M238"/>
    <mergeCell ref="N238:R238"/>
    <mergeCell ref="S238:W238"/>
    <mergeCell ref="X238:AB238"/>
    <mergeCell ref="AC238:AG238"/>
    <mergeCell ref="AH238:AL238"/>
    <mergeCell ref="AM238:AQ238"/>
    <mergeCell ref="AR239:AV239"/>
    <mergeCell ref="AW239:BA239"/>
    <mergeCell ref="BB239:BF239"/>
    <mergeCell ref="BG239:BK239"/>
    <mergeCell ref="I239:M239"/>
    <mergeCell ref="N239:R239"/>
    <mergeCell ref="S239:W239"/>
    <mergeCell ref="X239:AB239"/>
    <mergeCell ref="AC239:AG239"/>
    <mergeCell ref="AH239:AL239"/>
    <mergeCell ref="AM239:AQ239"/>
    <mergeCell ref="AR240:AV240"/>
    <mergeCell ref="AW240:BA240"/>
    <mergeCell ref="BB240:BF240"/>
    <mergeCell ref="BG240:BK240"/>
    <mergeCell ref="I240:M240"/>
    <mergeCell ref="N240:R240"/>
    <mergeCell ref="S240:W240"/>
    <mergeCell ref="X240:AB240"/>
    <mergeCell ref="AC240:AG240"/>
    <mergeCell ref="AH240:AL240"/>
    <mergeCell ref="AM240:AQ240"/>
    <mergeCell ref="AR241:AV241"/>
    <mergeCell ref="AW241:BA241"/>
    <mergeCell ref="BB241:BF241"/>
    <mergeCell ref="BG241:BK241"/>
    <mergeCell ref="I241:M241"/>
    <mergeCell ref="N241:R241"/>
    <mergeCell ref="S241:W241"/>
    <mergeCell ref="X241:AB241"/>
    <mergeCell ref="AC241:AG241"/>
    <mergeCell ref="AH241:AL241"/>
    <mergeCell ref="AM241:AQ241"/>
    <mergeCell ref="AR242:AV242"/>
    <mergeCell ref="AW242:BA242"/>
    <mergeCell ref="BB242:BF242"/>
    <mergeCell ref="BG242:BK242"/>
    <mergeCell ref="I242:M242"/>
    <mergeCell ref="N242:R242"/>
    <mergeCell ref="S242:W242"/>
    <mergeCell ref="X242:AB242"/>
    <mergeCell ref="AC242:AG242"/>
    <mergeCell ref="AH242:AL242"/>
    <mergeCell ref="AM242:AQ242"/>
    <mergeCell ref="AR243:AV243"/>
    <mergeCell ref="AW243:BA243"/>
    <mergeCell ref="BB243:BF243"/>
    <mergeCell ref="BG243:BK243"/>
    <mergeCell ref="I243:M243"/>
    <mergeCell ref="N243:R243"/>
    <mergeCell ref="S243:W243"/>
    <mergeCell ref="X243:AB243"/>
    <mergeCell ref="AC243:AG243"/>
    <mergeCell ref="AH243:AL243"/>
    <mergeCell ref="AM243:AQ243"/>
    <mergeCell ref="AR244:AV244"/>
    <mergeCell ref="AW244:BA244"/>
    <mergeCell ref="BB244:BF244"/>
    <mergeCell ref="BG244:BK244"/>
    <mergeCell ref="I244:M244"/>
    <mergeCell ref="N244:R244"/>
    <mergeCell ref="S244:W244"/>
    <mergeCell ref="X244:AB244"/>
    <mergeCell ref="AC244:AG244"/>
    <mergeCell ref="AH244:AL244"/>
    <mergeCell ref="AM244:AQ244"/>
    <mergeCell ref="AR245:AV245"/>
    <mergeCell ref="AW245:BA245"/>
    <mergeCell ref="BB245:BF245"/>
    <mergeCell ref="BG245:BK245"/>
    <mergeCell ref="I245:M245"/>
    <mergeCell ref="N245:R245"/>
    <mergeCell ref="S245:W245"/>
    <mergeCell ref="X245:AB245"/>
    <mergeCell ref="AC245:AG245"/>
    <mergeCell ref="AH245:AL245"/>
    <mergeCell ref="AM245:AQ245"/>
    <mergeCell ref="AR246:AV246"/>
    <mergeCell ref="AW246:BA246"/>
    <mergeCell ref="BB246:BF246"/>
    <mergeCell ref="BG246:BK246"/>
    <mergeCell ref="I246:M246"/>
    <mergeCell ref="N246:R246"/>
    <mergeCell ref="S246:W246"/>
    <mergeCell ref="X246:AB246"/>
    <mergeCell ref="AC246:AG246"/>
    <mergeCell ref="AH246:AL246"/>
    <mergeCell ref="AM246:AQ246"/>
    <mergeCell ref="AR247:AV247"/>
    <mergeCell ref="AW247:BA247"/>
    <mergeCell ref="BB247:BF247"/>
    <mergeCell ref="BG247:BK247"/>
    <mergeCell ref="I247:M247"/>
    <mergeCell ref="N247:R247"/>
    <mergeCell ref="S247:W247"/>
    <mergeCell ref="X247:AB247"/>
    <mergeCell ref="AC247:AG247"/>
    <mergeCell ref="AH247:AL247"/>
    <mergeCell ref="AM247:AQ247"/>
    <mergeCell ref="AR248:AV248"/>
    <mergeCell ref="AW248:BA248"/>
    <mergeCell ref="BB248:BF248"/>
    <mergeCell ref="BG248:BK248"/>
    <mergeCell ref="I248:M248"/>
    <mergeCell ref="N248:R248"/>
    <mergeCell ref="S248:W248"/>
    <mergeCell ref="X248:AB248"/>
    <mergeCell ref="AC248:AG248"/>
    <mergeCell ref="AH248:AL248"/>
    <mergeCell ref="AM248:AQ248"/>
    <mergeCell ref="AR249:AV249"/>
    <mergeCell ref="AW249:BA249"/>
    <mergeCell ref="BB249:BF249"/>
    <mergeCell ref="BG249:BK249"/>
    <mergeCell ref="I249:M249"/>
    <mergeCell ref="N249:R249"/>
    <mergeCell ref="S249:W249"/>
    <mergeCell ref="X249:AB249"/>
    <mergeCell ref="AC249:AG249"/>
    <mergeCell ref="AH249:AL249"/>
    <mergeCell ref="AM249:AQ249"/>
    <mergeCell ref="AR250:AV250"/>
    <mergeCell ref="AW250:BA250"/>
    <mergeCell ref="BB250:BF250"/>
    <mergeCell ref="BG250:BK250"/>
    <mergeCell ref="I250:M250"/>
    <mergeCell ref="N250:R250"/>
    <mergeCell ref="S250:W250"/>
    <mergeCell ref="X250:AB250"/>
    <mergeCell ref="AC250:AG250"/>
    <mergeCell ref="AH250:AL250"/>
    <mergeCell ref="AM250:AQ250"/>
    <mergeCell ref="AR251:AV251"/>
    <mergeCell ref="AW251:BA251"/>
    <mergeCell ref="BB251:BF251"/>
    <mergeCell ref="BG251:BK251"/>
    <mergeCell ref="I251:M251"/>
    <mergeCell ref="N251:R251"/>
    <mergeCell ref="S251:W251"/>
    <mergeCell ref="X251:AB251"/>
    <mergeCell ref="AC251:AG251"/>
    <mergeCell ref="AH251:AL251"/>
    <mergeCell ref="AM251:AQ251"/>
    <mergeCell ref="AR252:AV252"/>
    <mergeCell ref="AW252:BA252"/>
    <mergeCell ref="BB252:BF252"/>
    <mergeCell ref="BG252:BK252"/>
    <mergeCell ref="I252:M252"/>
    <mergeCell ref="N252:R252"/>
    <mergeCell ref="S252:W252"/>
    <mergeCell ref="X252:AB252"/>
    <mergeCell ref="AC252:AG252"/>
    <mergeCell ref="AH252:AL252"/>
    <mergeCell ref="AM252:AQ252"/>
    <mergeCell ref="AR253:AV253"/>
    <mergeCell ref="AW253:BA253"/>
    <mergeCell ref="BB253:BF253"/>
    <mergeCell ref="BG253:BK253"/>
    <mergeCell ref="I253:M253"/>
    <mergeCell ref="N253:R253"/>
    <mergeCell ref="S253:W253"/>
    <mergeCell ref="X253:AB253"/>
    <mergeCell ref="AC253:AG253"/>
    <mergeCell ref="AH253:AL253"/>
    <mergeCell ref="AM253:AQ253"/>
    <mergeCell ref="AR254:AV254"/>
    <mergeCell ref="AW254:BA254"/>
    <mergeCell ref="BB254:BF254"/>
    <mergeCell ref="BG254:BK254"/>
    <mergeCell ref="I254:M254"/>
    <mergeCell ref="N254:R254"/>
    <mergeCell ref="S254:W254"/>
    <mergeCell ref="X254:AB254"/>
    <mergeCell ref="AC254:AG254"/>
    <mergeCell ref="AH254:AL254"/>
    <mergeCell ref="AM254:AQ254"/>
    <mergeCell ref="AR255:AV255"/>
    <mergeCell ref="AW255:BA255"/>
    <mergeCell ref="BB255:BF255"/>
    <mergeCell ref="BG255:BK255"/>
    <mergeCell ref="I255:M255"/>
    <mergeCell ref="N255:R255"/>
    <mergeCell ref="S255:W255"/>
    <mergeCell ref="X255:AB255"/>
    <mergeCell ref="AC255:AG255"/>
    <mergeCell ref="AH255:AL255"/>
    <mergeCell ref="AM255:AQ255"/>
    <mergeCell ref="AR256:AV256"/>
    <mergeCell ref="AW256:BA256"/>
    <mergeCell ref="BB256:BF256"/>
    <mergeCell ref="BG256:BK256"/>
    <mergeCell ref="I256:M256"/>
    <mergeCell ref="N256:R256"/>
    <mergeCell ref="S256:W256"/>
    <mergeCell ref="X256:AB256"/>
    <mergeCell ref="AC256:AG256"/>
    <mergeCell ref="AH256:AL256"/>
    <mergeCell ref="AM256:AQ256"/>
    <mergeCell ref="AW266:BA266"/>
    <mergeCell ref="BB266:BF266"/>
    <mergeCell ref="BG266:BK266"/>
    <mergeCell ref="N266:R266"/>
    <mergeCell ref="S266:W266"/>
    <mergeCell ref="X266:AB266"/>
    <mergeCell ref="AC266:AG266"/>
    <mergeCell ref="AH266:AL266"/>
    <mergeCell ref="AM266:AQ266"/>
    <mergeCell ref="AR266:AV266"/>
    <mergeCell ref="AR262:AV262"/>
    <mergeCell ref="AW262:BA262"/>
    <mergeCell ref="BB262:BF262"/>
    <mergeCell ref="BG262:BK262"/>
    <mergeCell ref="I262:M262"/>
    <mergeCell ref="N262:R262"/>
    <mergeCell ref="S262:W262"/>
    <mergeCell ref="X262:AB262"/>
    <mergeCell ref="AC262:AG262"/>
    <mergeCell ref="AH262:AL262"/>
    <mergeCell ref="AM262:AQ262"/>
    <mergeCell ref="AH264:AL264"/>
    <mergeCell ref="AM264:AQ264"/>
    <mergeCell ref="AR264:AV264"/>
    <mergeCell ref="AW264:BA264"/>
    <mergeCell ref="BB264:BF264"/>
    <mergeCell ref="BG264:BK264"/>
    <mergeCell ref="B264:C264"/>
    <mergeCell ref="E264:H264"/>
    <mergeCell ref="I264:M264"/>
    <mergeCell ref="N264:R264"/>
    <mergeCell ref="S264:W264"/>
    <mergeCell ref="X264:AB264"/>
    <mergeCell ref="AC264:AG264"/>
    <mergeCell ref="AR265:AV265"/>
    <mergeCell ref="AW265:BA265"/>
    <mergeCell ref="BB265:BF265"/>
    <mergeCell ref="BG265:BK265"/>
    <mergeCell ref="I265:M265"/>
    <mergeCell ref="N265:R265"/>
    <mergeCell ref="S265:W265"/>
    <mergeCell ref="X265:AB265"/>
    <mergeCell ref="AC265:AG265"/>
    <mergeCell ref="AH265:AL265"/>
    <mergeCell ref="AM265:AQ265"/>
    <mergeCell ref="AM267:AQ267"/>
    <mergeCell ref="AR267:AV267"/>
    <mergeCell ref="AW267:BA267"/>
    <mergeCell ref="BB267:BF267"/>
    <mergeCell ref="BG267:BK267"/>
    <mergeCell ref="AW271:BA271"/>
    <mergeCell ref="BB271:BF271"/>
    <mergeCell ref="N271:R271"/>
    <mergeCell ref="S271:W271"/>
    <mergeCell ref="X271:AB271"/>
    <mergeCell ref="AC271:AG271"/>
    <mergeCell ref="AH271:AL271"/>
    <mergeCell ref="AM271:AQ271"/>
    <mergeCell ref="AR271:AV271"/>
    <mergeCell ref="AH268:AL268"/>
    <mergeCell ref="AM268:AQ268"/>
    <mergeCell ref="AR268:AV268"/>
    <mergeCell ref="AW268:BA268"/>
    <mergeCell ref="BB268:BF268"/>
    <mergeCell ref="BG268:BK268"/>
    <mergeCell ref="D267:E267"/>
    <mergeCell ref="N267:R267"/>
    <mergeCell ref="S267:W267"/>
    <mergeCell ref="X267:AB267"/>
    <mergeCell ref="AC267:AG267"/>
    <mergeCell ref="AH267:AL267"/>
    <mergeCell ref="D268:E268"/>
    <mergeCell ref="AW269:BA269"/>
    <mergeCell ref="BB269:BF269"/>
    <mergeCell ref="BG269:BK269"/>
    <mergeCell ref="BG271:BK271"/>
    <mergeCell ref="AW272:BA272"/>
    <mergeCell ref="BB272:BF272"/>
    <mergeCell ref="BG272:BK272"/>
    <mergeCell ref="X268:AB268"/>
    <mergeCell ref="AC268:AG268"/>
    <mergeCell ref="X269:AB269"/>
    <mergeCell ref="AC269:AG269"/>
    <mergeCell ref="AH269:AL269"/>
    <mergeCell ref="AM269:AQ269"/>
    <mergeCell ref="AR269:AV269"/>
    <mergeCell ref="AC270:AG270"/>
    <mergeCell ref="AH270:AL270"/>
    <mergeCell ref="AM270:AQ270"/>
    <mergeCell ref="AR270:AV270"/>
    <mergeCell ref="AW270:BA270"/>
    <mergeCell ref="BB270:BF270"/>
    <mergeCell ref="BG270:BK270"/>
    <mergeCell ref="N268:R268"/>
    <mergeCell ref="S268:W268"/>
    <mergeCell ref="N269:R269"/>
    <mergeCell ref="S269:W269"/>
    <mergeCell ref="N270:R270"/>
    <mergeCell ref="S270:W270"/>
    <mergeCell ref="X270:AB270"/>
    <mergeCell ref="I267:M267"/>
    <mergeCell ref="I268:M268"/>
    <mergeCell ref="D269:E269"/>
    <mergeCell ref="I269:M269"/>
    <mergeCell ref="D270:E270"/>
    <mergeCell ref="I270:M270"/>
    <mergeCell ref="I271:M271"/>
    <mergeCell ref="I272:M272"/>
    <mergeCell ref="AH274:AL274"/>
    <mergeCell ref="AM274:AQ274"/>
    <mergeCell ref="AR274:AV274"/>
    <mergeCell ref="AW274:BA274"/>
    <mergeCell ref="BB274:BF274"/>
    <mergeCell ref="BG274:BK274"/>
    <mergeCell ref="X274:AB274"/>
    <mergeCell ref="AC274:AG274"/>
    <mergeCell ref="X275:AB275"/>
    <mergeCell ref="AC275:AG275"/>
    <mergeCell ref="AH275:AL275"/>
    <mergeCell ref="AM275:AQ275"/>
    <mergeCell ref="AR275:AV275"/>
    <mergeCell ref="BG275:BK275"/>
    <mergeCell ref="N274:R274"/>
    <mergeCell ref="S274:W274"/>
    <mergeCell ref="N275:R275"/>
    <mergeCell ref="S275:W275"/>
    <mergeCell ref="N276:R276"/>
    <mergeCell ref="S276:W276"/>
    <mergeCell ref="X276:AB276"/>
    <mergeCell ref="AH278:AL278"/>
    <mergeCell ref="AM278:AQ278"/>
    <mergeCell ref="AR278:AV278"/>
    <mergeCell ref="AW278:BA278"/>
    <mergeCell ref="BB278:BF278"/>
    <mergeCell ref="BG278:BK278"/>
    <mergeCell ref="N277:R277"/>
    <mergeCell ref="S277:W277"/>
    <mergeCell ref="X277:AB277"/>
    <mergeCell ref="N278:R278"/>
    <mergeCell ref="S278:W278"/>
    <mergeCell ref="X278:AB278"/>
    <mergeCell ref="AC278:AG278"/>
    <mergeCell ref="D277:E277"/>
    <mergeCell ref="D278:E278"/>
    <mergeCell ref="D279:E279"/>
    <mergeCell ref="D280:E280"/>
    <mergeCell ref="D281:E281"/>
    <mergeCell ref="I273:M273"/>
    <mergeCell ref="I274:M274"/>
    <mergeCell ref="D275:E275"/>
    <mergeCell ref="I275:M275"/>
    <mergeCell ref="D276:E276"/>
    <mergeCell ref="I276:M276"/>
    <mergeCell ref="I277:M277"/>
    <mergeCell ref="AM279:AQ279"/>
    <mergeCell ref="AR279:AV279"/>
    <mergeCell ref="AW279:BA279"/>
    <mergeCell ref="BB279:BF279"/>
    <mergeCell ref="BG279:BK279"/>
    <mergeCell ref="I278:M278"/>
    <mergeCell ref="I279:M279"/>
    <mergeCell ref="N279:R279"/>
    <mergeCell ref="S279:W279"/>
    <mergeCell ref="X279:AB279"/>
    <mergeCell ref="AC279:AG279"/>
    <mergeCell ref="AH279:AL279"/>
    <mergeCell ref="AR280:AV280"/>
    <mergeCell ref="AW280:BA280"/>
    <mergeCell ref="BB280:BF280"/>
    <mergeCell ref="BG280:BK280"/>
    <mergeCell ref="I280:M280"/>
    <mergeCell ref="N280:R280"/>
    <mergeCell ref="S280:W280"/>
    <mergeCell ref="X280:AB280"/>
    <mergeCell ref="AC280:AG280"/>
    <mergeCell ref="AH280:AL280"/>
    <mergeCell ref="AM280:AQ280"/>
    <mergeCell ref="AR281:AV281"/>
    <mergeCell ref="AW281:BA281"/>
    <mergeCell ref="BB281:BF281"/>
    <mergeCell ref="BG281:BK281"/>
    <mergeCell ref="I281:M281"/>
    <mergeCell ref="N281:R281"/>
    <mergeCell ref="S281:W281"/>
    <mergeCell ref="X281:AB281"/>
    <mergeCell ref="AC281:AG281"/>
    <mergeCell ref="AH281:AL281"/>
    <mergeCell ref="AM281:AQ281"/>
    <mergeCell ref="AM272:AQ272"/>
    <mergeCell ref="AR272:AV272"/>
    <mergeCell ref="D271:E271"/>
    <mergeCell ref="D272:E272"/>
    <mergeCell ref="N272:R272"/>
    <mergeCell ref="S272:W272"/>
    <mergeCell ref="X272:AB272"/>
    <mergeCell ref="AC272:AG272"/>
    <mergeCell ref="AH272:AL272"/>
    <mergeCell ref="AM273:AQ273"/>
    <mergeCell ref="AR273:AV273"/>
    <mergeCell ref="AW273:BA273"/>
    <mergeCell ref="BB273:BF273"/>
    <mergeCell ref="BG273:BK273"/>
    <mergeCell ref="D273:E273"/>
    <mergeCell ref="N273:R273"/>
    <mergeCell ref="S273:W273"/>
    <mergeCell ref="X273:AB273"/>
    <mergeCell ref="AC273:AG273"/>
    <mergeCell ref="AH273:AL273"/>
    <mergeCell ref="D274:E274"/>
    <mergeCell ref="AW275:BA275"/>
    <mergeCell ref="BB275:BF275"/>
    <mergeCell ref="AC277:AG277"/>
    <mergeCell ref="AH277:AL277"/>
    <mergeCell ref="AM277:AQ277"/>
    <mergeCell ref="AR277:AV277"/>
    <mergeCell ref="AW277:BA277"/>
    <mergeCell ref="BB277:BF277"/>
    <mergeCell ref="BG277:BK277"/>
    <mergeCell ref="AC276:AG276"/>
    <mergeCell ref="AH276:AL276"/>
    <mergeCell ref="AM276:AQ276"/>
    <mergeCell ref="AR276:AV276"/>
    <mergeCell ref="AW276:BA276"/>
    <mergeCell ref="BB276:BF276"/>
    <mergeCell ref="BG276:BK276"/>
    <mergeCell ref="N215:R215"/>
    <mergeCell ref="S215:W215"/>
    <mergeCell ref="X215:AB215"/>
    <mergeCell ref="AC215:AG215"/>
    <mergeCell ref="AH215:AL215"/>
    <mergeCell ref="AM215:AQ215"/>
    <mergeCell ref="AR215:AV215"/>
    <mergeCell ref="I215:M215"/>
    <mergeCell ref="I216:M216"/>
    <mergeCell ref="N216:R216"/>
    <mergeCell ref="S216:W216"/>
    <mergeCell ref="X216:AB216"/>
    <mergeCell ref="AC216:AG216"/>
    <mergeCell ref="AH216:AL216"/>
    <mergeCell ref="AR217:AV217"/>
    <mergeCell ref="AW217:BA217"/>
    <mergeCell ref="BB217:BF217"/>
    <mergeCell ref="BG217:BK217"/>
    <mergeCell ref="I217:M217"/>
    <mergeCell ref="N217:R217"/>
    <mergeCell ref="S217:W217"/>
    <mergeCell ref="X217:AB217"/>
    <mergeCell ref="AC217:AG217"/>
    <mergeCell ref="AH217:AL217"/>
    <mergeCell ref="AM217:AQ217"/>
    <mergeCell ref="AR218:AV218"/>
    <mergeCell ref="AW218:BA218"/>
    <mergeCell ref="BB218:BF218"/>
    <mergeCell ref="BG218:BK218"/>
    <mergeCell ref="I218:M218"/>
    <mergeCell ref="N218:R218"/>
    <mergeCell ref="S218:W218"/>
    <mergeCell ref="X218:AB218"/>
    <mergeCell ref="AC218:AG218"/>
    <mergeCell ref="AH218:AL218"/>
    <mergeCell ref="AM218:AQ218"/>
    <mergeCell ref="AM221:AQ221"/>
    <mergeCell ref="AR221:AV221"/>
    <mergeCell ref="AW221:BA221"/>
    <mergeCell ref="BB221:BF221"/>
    <mergeCell ref="BG221:BK221"/>
    <mergeCell ref="AR257:AV257"/>
    <mergeCell ref="AW257:BA257"/>
    <mergeCell ref="BB257:BF257"/>
    <mergeCell ref="BG257:BK257"/>
    <mergeCell ref="I257:M257"/>
    <mergeCell ref="N257:R257"/>
    <mergeCell ref="S257:W257"/>
    <mergeCell ref="X257:AB257"/>
    <mergeCell ref="AC257:AG257"/>
    <mergeCell ref="AH257:AL257"/>
    <mergeCell ref="AM257:AQ257"/>
    <mergeCell ref="AR258:AV258"/>
    <mergeCell ref="AW258:BA258"/>
    <mergeCell ref="BB258:BF258"/>
    <mergeCell ref="BG258:BK258"/>
    <mergeCell ref="I258:M258"/>
    <mergeCell ref="N258:R258"/>
    <mergeCell ref="S258:W258"/>
    <mergeCell ref="X258:AB258"/>
    <mergeCell ref="AC258:AG258"/>
    <mergeCell ref="AH258:AL258"/>
    <mergeCell ref="AM258:AQ258"/>
    <mergeCell ref="AR259:AV259"/>
    <mergeCell ref="AW259:BA259"/>
    <mergeCell ref="BB259:BF259"/>
    <mergeCell ref="BG259:BK259"/>
    <mergeCell ref="I259:M259"/>
    <mergeCell ref="N259:R259"/>
    <mergeCell ref="S259:W259"/>
    <mergeCell ref="X259:AB259"/>
    <mergeCell ref="AC259:AG259"/>
    <mergeCell ref="AH259:AL259"/>
    <mergeCell ref="AM259:AQ259"/>
    <mergeCell ref="AR260:AV260"/>
    <mergeCell ref="AW260:BA260"/>
    <mergeCell ref="BB260:BF260"/>
    <mergeCell ref="BG260:BK260"/>
    <mergeCell ref="I260:M260"/>
    <mergeCell ref="N260:R260"/>
    <mergeCell ref="S260:W260"/>
    <mergeCell ref="X260:AB260"/>
    <mergeCell ref="AC260:AG260"/>
    <mergeCell ref="AH260:AL260"/>
    <mergeCell ref="AM260:AQ260"/>
    <mergeCell ref="AR261:AV261"/>
    <mergeCell ref="AW261:BA261"/>
    <mergeCell ref="BB261:BF261"/>
    <mergeCell ref="BG261:BK261"/>
    <mergeCell ref="I261:M261"/>
    <mergeCell ref="N261:R261"/>
    <mergeCell ref="S261:W261"/>
    <mergeCell ref="X261:AB261"/>
    <mergeCell ref="AC261:AG261"/>
    <mergeCell ref="AH261:AL261"/>
    <mergeCell ref="AM261:AQ261"/>
    <mergeCell ref="N220:R220"/>
    <mergeCell ref="S220:W220"/>
    <mergeCell ref="X220:AB220"/>
    <mergeCell ref="AC220:AG220"/>
    <mergeCell ref="AH220:AL220"/>
    <mergeCell ref="AM220:AQ220"/>
    <mergeCell ref="AR220:AV220"/>
    <mergeCell ref="I220:M220"/>
    <mergeCell ref="I221:M221"/>
    <mergeCell ref="N221:R221"/>
    <mergeCell ref="S221:W221"/>
    <mergeCell ref="X221:AB221"/>
    <mergeCell ref="AC221:AG221"/>
    <mergeCell ref="AH221:AL221"/>
    <mergeCell ref="AR222:AV222"/>
    <mergeCell ref="AW222:BA222"/>
    <mergeCell ref="BB222:BF222"/>
    <mergeCell ref="BG222:BK222"/>
    <mergeCell ref="I222:M222"/>
    <mergeCell ref="N222:R222"/>
    <mergeCell ref="S222:W222"/>
    <mergeCell ref="X222:AB222"/>
    <mergeCell ref="AC222:AG222"/>
    <mergeCell ref="AH222:AL222"/>
    <mergeCell ref="AM222:AQ222"/>
    <mergeCell ref="AR223:AV223"/>
    <mergeCell ref="AW223:BA223"/>
    <mergeCell ref="BB223:BF223"/>
    <mergeCell ref="BG223:BK223"/>
    <mergeCell ref="I223:M223"/>
    <mergeCell ref="N223:R223"/>
    <mergeCell ref="S223:W223"/>
    <mergeCell ref="X223:AB223"/>
    <mergeCell ref="AC223:AG223"/>
    <mergeCell ref="AH223:AL223"/>
    <mergeCell ref="AM223:AQ223"/>
    <mergeCell ref="AR263:AV263"/>
    <mergeCell ref="AW263:BA263"/>
    <mergeCell ref="BB263:BF263"/>
    <mergeCell ref="BG263:BK263"/>
    <mergeCell ref="I263:M263"/>
    <mergeCell ref="N263:R263"/>
    <mergeCell ref="S263:W263"/>
    <mergeCell ref="X263:AB263"/>
    <mergeCell ref="AC263:AG263"/>
    <mergeCell ref="AH263:AL263"/>
    <mergeCell ref="AM263:AQ263"/>
    <mergeCell ref="AR159:AV159"/>
    <mergeCell ref="AW159:BA159"/>
    <mergeCell ref="BB159:BF159"/>
    <mergeCell ref="BG159:BK159"/>
    <mergeCell ref="I159:M159"/>
    <mergeCell ref="N159:R159"/>
    <mergeCell ref="S159:W159"/>
    <mergeCell ref="X159:AB159"/>
    <mergeCell ref="AC159:AG159"/>
    <mergeCell ref="AH159:AL159"/>
    <mergeCell ref="AM159:AQ159"/>
    <mergeCell ref="AR160:AV160"/>
    <mergeCell ref="AW160:BA160"/>
    <mergeCell ref="BB160:BF160"/>
    <mergeCell ref="BG160:BK160"/>
    <mergeCell ref="I160:M160"/>
    <mergeCell ref="N160:R160"/>
    <mergeCell ref="S160:W160"/>
    <mergeCell ref="X160:AB160"/>
    <mergeCell ref="AC160:AG160"/>
    <mergeCell ref="AH160:AL160"/>
    <mergeCell ref="AM160:AQ160"/>
    <mergeCell ref="AR161:AV161"/>
    <mergeCell ref="AW161:BA161"/>
    <mergeCell ref="BB161:BF161"/>
    <mergeCell ref="BG161:BK161"/>
    <mergeCell ref="I161:M161"/>
    <mergeCell ref="N161:R161"/>
    <mergeCell ref="S161:W161"/>
    <mergeCell ref="X161:AB161"/>
    <mergeCell ref="AC161:AG161"/>
    <mergeCell ref="AH161:AL161"/>
    <mergeCell ref="AM161:AQ161"/>
    <mergeCell ref="AR162:AV162"/>
    <mergeCell ref="AW162:BA162"/>
    <mergeCell ref="BB162:BF162"/>
    <mergeCell ref="BG162:BK162"/>
    <mergeCell ref="I162:M162"/>
    <mergeCell ref="N162:R162"/>
    <mergeCell ref="S162:W162"/>
    <mergeCell ref="X162:AB162"/>
    <mergeCell ref="AC162:AG162"/>
    <mergeCell ref="AH162:AL162"/>
    <mergeCell ref="AM162:AQ162"/>
    <mergeCell ref="AR163:AV163"/>
    <mergeCell ref="AW163:BA163"/>
    <mergeCell ref="BB163:BF163"/>
    <mergeCell ref="BG163:BK163"/>
    <mergeCell ref="I163:M163"/>
    <mergeCell ref="N163:R163"/>
    <mergeCell ref="S163:W163"/>
    <mergeCell ref="X163:AB163"/>
    <mergeCell ref="AC163:AG163"/>
    <mergeCell ref="AH163:AL163"/>
    <mergeCell ref="AM163:AQ163"/>
    <mergeCell ref="AR164:AV164"/>
    <mergeCell ref="AW164:BA164"/>
    <mergeCell ref="BB164:BF164"/>
    <mergeCell ref="BG164:BK164"/>
    <mergeCell ref="I164:M164"/>
    <mergeCell ref="N164:R164"/>
    <mergeCell ref="S164:W164"/>
    <mergeCell ref="X164:AB164"/>
    <mergeCell ref="AC164:AG164"/>
    <mergeCell ref="AH164:AL164"/>
    <mergeCell ref="AM164:AQ164"/>
    <mergeCell ref="AR165:AV165"/>
    <mergeCell ref="AW165:BA165"/>
    <mergeCell ref="BB165:BF165"/>
    <mergeCell ref="BG165:BK165"/>
    <mergeCell ref="I165:M165"/>
    <mergeCell ref="N165:R165"/>
    <mergeCell ref="S165:W165"/>
    <mergeCell ref="X165:AB165"/>
    <mergeCell ref="AC165:AG165"/>
    <mergeCell ref="AH165:AL165"/>
    <mergeCell ref="AM165:AQ165"/>
    <mergeCell ref="AR166:AV166"/>
    <mergeCell ref="AW166:BA166"/>
    <mergeCell ref="BB166:BF166"/>
    <mergeCell ref="BG166:BK166"/>
    <mergeCell ref="I166:M166"/>
    <mergeCell ref="N166:R166"/>
    <mergeCell ref="S166:W166"/>
    <mergeCell ref="X166:AB166"/>
    <mergeCell ref="AC166:AG166"/>
    <mergeCell ref="AH166:AL166"/>
    <mergeCell ref="AM166:AQ166"/>
    <mergeCell ref="AR167:AV167"/>
    <mergeCell ref="AW167:BA167"/>
    <mergeCell ref="BB167:BF167"/>
    <mergeCell ref="BG167:BK167"/>
    <mergeCell ref="I167:M167"/>
    <mergeCell ref="N167:R167"/>
    <mergeCell ref="S167:W167"/>
    <mergeCell ref="X167:AB167"/>
    <mergeCell ref="AC167:AG167"/>
    <mergeCell ref="AH167:AL167"/>
    <mergeCell ref="AM167:AQ167"/>
    <mergeCell ref="AR168:AV168"/>
    <mergeCell ref="AW168:BA168"/>
    <mergeCell ref="BB168:BF168"/>
    <mergeCell ref="BG168:BK168"/>
    <mergeCell ref="I168:M168"/>
    <mergeCell ref="N168:R168"/>
    <mergeCell ref="S168:W168"/>
    <mergeCell ref="X168:AB168"/>
    <mergeCell ref="AC168:AG168"/>
    <mergeCell ref="AH168:AL168"/>
    <mergeCell ref="AM168:AQ168"/>
    <mergeCell ref="AR169:AV169"/>
    <mergeCell ref="AW169:BA169"/>
    <mergeCell ref="BB169:BF169"/>
    <mergeCell ref="BG169:BK169"/>
    <mergeCell ref="I169:M169"/>
    <mergeCell ref="N169:R169"/>
    <mergeCell ref="S169:W169"/>
    <mergeCell ref="X169:AB169"/>
    <mergeCell ref="AC169:AG169"/>
    <mergeCell ref="AH169:AL169"/>
    <mergeCell ref="AM169:AQ169"/>
    <mergeCell ref="AR170:AV170"/>
    <mergeCell ref="AW170:BA170"/>
    <mergeCell ref="BB170:BF170"/>
    <mergeCell ref="BG170:BK170"/>
    <mergeCell ref="I170:M170"/>
    <mergeCell ref="N170:R170"/>
    <mergeCell ref="S170:W170"/>
    <mergeCell ref="X170:AB170"/>
    <mergeCell ref="AC170:AG170"/>
    <mergeCell ref="AH170:AL170"/>
    <mergeCell ref="AM170:AQ170"/>
    <mergeCell ref="AR171:AV171"/>
    <mergeCell ref="AW171:BA171"/>
    <mergeCell ref="BB171:BF171"/>
    <mergeCell ref="BG171:BK171"/>
    <mergeCell ref="I171:M171"/>
    <mergeCell ref="N171:R171"/>
    <mergeCell ref="S171:W171"/>
    <mergeCell ref="X171:AB171"/>
    <mergeCell ref="AC171:AG171"/>
    <mergeCell ref="AH171:AL171"/>
    <mergeCell ref="AM171:AQ171"/>
    <mergeCell ref="AR172:AV172"/>
    <mergeCell ref="AW172:BA172"/>
    <mergeCell ref="BB172:BF172"/>
    <mergeCell ref="BG172:BK172"/>
    <mergeCell ref="I172:M172"/>
    <mergeCell ref="N172:R172"/>
    <mergeCell ref="S172:W172"/>
    <mergeCell ref="X172:AB172"/>
    <mergeCell ref="AC172:AG172"/>
    <mergeCell ref="AH172:AL172"/>
    <mergeCell ref="AM172:AQ172"/>
    <mergeCell ref="AR173:AV173"/>
    <mergeCell ref="AW173:BA173"/>
    <mergeCell ref="BB173:BF173"/>
    <mergeCell ref="BG173:BK173"/>
    <mergeCell ref="I173:M173"/>
    <mergeCell ref="N173:R173"/>
    <mergeCell ref="S173:W173"/>
    <mergeCell ref="X173:AB173"/>
    <mergeCell ref="AC173:AG173"/>
    <mergeCell ref="AH173:AL173"/>
    <mergeCell ref="AM173:AQ173"/>
    <mergeCell ref="AR174:AV174"/>
    <mergeCell ref="AW174:BA174"/>
    <mergeCell ref="BB174:BF174"/>
    <mergeCell ref="BG174:BK174"/>
    <mergeCell ref="I174:M174"/>
    <mergeCell ref="N174:R174"/>
    <mergeCell ref="S174:W174"/>
    <mergeCell ref="X174:AB174"/>
    <mergeCell ref="AC174:AG174"/>
    <mergeCell ref="AH174:AL174"/>
    <mergeCell ref="AM174:AQ174"/>
    <mergeCell ref="AR175:AV175"/>
    <mergeCell ref="AW175:BA175"/>
    <mergeCell ref="BB175:BF175"/>
    <mergeCell ref="BG175:BK175"/>
    <mergeCell ref="I175:M175"/>
    <mergeCell ref="N175:R175"/>
    <mergeCell ref="S175:W175"/>
    <mergeCell ref="X175:AB175"/>
    <mergeCell ref="AC175:AG175"/>
    <mergeCell ref="AH175:AL175"/>
    <mergeCell ref="AM175:AQ175"/>
    <mergeCell ref="AR176:AV176"/>
    <mergeCell ref="AW176:BA176"/>
    <mergeCell ref="BB176:BF176"/>
    <mergeCell ref="BG176:BK176"/>
    <mergeCell ref="I176:M176"/>
    <mergeCell ref="N176:R176"/>
    <mergeCell ref="S176:W176"/>
    <mergeCell ref="X176:AB176"/>
    <mergeCell ref="AC176:AG176"/>
    <mergeCell ref="AH176:AL176"/>
    <mergeCell ref="AM176:AQ176"/>
    <mergeCell ref="AR177:AV177"/>
    <mergeCell ref="AW177:BA177"/>
    <mergeCell ref="BB177:BF177"/>
    <mergeCell ref="BG177:BK177"/>
    <mergeCell ref="I177:M177"/>
    <mergeCell ref="N177:R177"/>
    <mergeCell ref="S177:W177"/>
    <mergeCell ref="X177:AB177"/>
    <mergeCell ref="AC177:AG177"/>
    <mergeCell ref="AH177:AL177"/>
    <mergeCell ref="AM177:AQ177"/>
    <mergeCell ref="AR178:AV178"/>
    <mergeCell ref="AW178:BA178"/>
    <mergeCell ref="BB178:BF178"/>
    <mergeCell ref="BG178:BK178"/>
    <mergeCell ref="I178:M178"/>
    <mergeCell ref="N178:R178"/>
    <mergeCell ref="S178:W178"/>
    <mergeCell ref="X178:AB178"/>
    <mergeCell ref="AC178:AG178"/>
    <mergeCell ref="AH178:AL178"/>
    <mergeCell ref="AM178:AQ178"/>
    <mergeCell ref="AR179:AV179"/>
    <mergeCell ref="AW179:BA179"/>
    <mergeCell ref="BB179:BF179"/>
    <mergeCell ref="BG179:BK179"/>
    <mergeCell ref="I179:M179"/>
    <mergeCell ref="N179:R179"/>
    <mergeCell ref="S179:W179"/>
    <mergeCell ref="X179:AB179"/>
    <mergeCell ref="AC179:AG179"/>
    <mergeCell ref="AH179:AL179"/>
    <mergeCell ref="AM179:AQ179"/>
    <mergeCell ref="AR180:AV180"/>
    <mergeCell ref="AW180:BA180"/>
    <mergeCell ref="BB180:BF180"/>
    <mergeCell ref="BG180:BK180"/>
    <mergeCell ref="I180:M180"/>
    <mergeCell ref="N180:R180"/>
    <mergeCell ref="S180:W180"/>
    <mergeCell ref="X180:AB180"/>
    <mergeCell ref="AC180:AG180"/>
    <mergeCell ref="AH180:AL180"/>
    <mergeCell ref="AM180:AQ180"/>
    <mergeCell ref="AR181:AV181"/>
    <mergeCell ref="AW181:BA181"/>
    <mergeCell ref="BB181:BF181"/>
    <mergeCell ref="BG181:BK181"/>
    <mergeCell ref="I181:M181"/>
    <mergeCell ref="N181:R181"/>
    <mergeCell ref="S181:W181"/>
    <mergeCell ref="X181:AB181"/>
    <mergeCell ref="AC181:AG181"/>
    <mergeCell ref="AH181:AL181"/>
    <mergeCell ref="AM181:AQ181"/>
    <mergeCell ref="AR182:AV182"/>
    <mergeCell ref="AW182:BA182"/>
    <mergeCell ref="BB182:BF182"/>
    <mergeCell ref="BG182:BK182"/>
    <mergeCell ref="I182:M182"/>
    <mergeCell ref="N182:R182"/>
    <mergeCell ref="S182:W182"/>
    <mergeCell ref="X182:AB182"/>
    <mergeCell ref="AC182:AG182"/>
    <mergeCell ref="AH182:AL182"/>
    <mergeCell ref="AM182:AQ182"/>
    <mergeCell ref="AR183:AV183"/>
    <mergeCell ref="AW183:BA183"/>
    <mergeCell ref="BB183:BF183"/>
    <mergeCell ref="BG183:BK183"/>
    <mergeCell ref="I183:M183"/>
    <mergeCell ref="N183:R183"/>
    <mergeCell ref="S183:W183"/>
    <mergeCell ref="X183:AB183"/>
    <mergeCell ref="AC183:AG183"/>
    <mergeCell ref="AH183:AL183"/>
    <mergeCell ref="AM183:AQ183"/>
    <mergeCell ref="AR184:AV184"/>
    <mergeCell ref="AW184:BA184"/>
    <mergeCell ref="BB184:BF184"/>
    <mergeCell ref="BG184:BK184"/>
    <mergeCell ref="I184:M184"/>
    <mergeCell ref="N184:R184"/>
    <mergeCell ref="S184:W184"/>
    <mergeCell ref="X184:AB184"/>
    <mergeCell ref="AC184:AG184"/>
    <mergeCell ref="AH184:AL184"/>
    <mergeCell ref="AM184:AQ184"/>
    <mergeCell ref="AR185:AV185"/>
    <mergeCell ref="AW185:BA185"/>
    <mergeCell ref="BB185:BF185"/>
    <mergeCell ref="BG185:BK185"/>
    <mergeCell ref="I185:M185"/>
    <mergeCell ref="N185:R185"/>
    <mergeCell ref="S185:W185"/>
    <mergeCell ref="X185:AB185"/>
    <mergeCell ref="AC185:AG185"/>
    <mergeCell ref="AH185:AL185"/>
    <mergeCell ref="AM185:AQ185"/>
    <mergeCell ref="AR186:AV186"/>
    <mergeCell ref="AW186:BA186"/>
    <mergeCell ref="BB186:BF186"/>
    <mergeCell ref="BG186:BK186"/>
    <mergeCell ref="I186:M186"/>
    <mergeCell ref="N186:R186"/>
    <mergeCell ref="S186:W186"/>
    <mergeCell ref="X186:AB186"/>
    <mergeCell ref="AC186:AG186"/>
    <mergeCell ref="AH186:AL186"/>
    <mergeCell ref="AM186:AQ186"/>
    <mergeCell ref="AR187:AV187"/>
    <mergeCell ref="AW187:BA187"/>
    <mergeCell ref="BB187:BF187"/>
    <mergeCell ref="BG187:BK187"/>
    <mergeCell ref="I187:M187"/>
    <mergeCell ref="N187:R187"/>
    <mergeCell ref="S187:W187"/>
    <mergeCell ref="X187:AB187"/>
    <mergeCell ref="AC187:AG187"/>
    <mergeCell ref="AH187:AL187"/>
    <mergeCell ref="AM187:AQ187"/>
    <mergeCell ref="AR188:AV188"/>
    <mergeCell ref="AW188:BA188"/>
    <mergeCell ref="BB188:BF188"/>
    <mergeCell ref="BG188:BK188"/>
    <mergeCell ref="I188:M188"/>
    <mergeCell ref="N188:R188"/>
    <mergeCell ref="S188:W188"/>
    <mergeCell ref="X188:AB188"/>
    <mergeCell ref="AC188:AG188"/>
    <mergeCell ref="AH188:AL188"/>
    <mergeCell ref="AM188:AQ188"/>
    <mergeCell ref="AR189:AV189"/>
    <mergeCell ref="AW189:BA189"/>
    <mergeCell ref="BB189:BF189"/>
    <mergeCell ref="BG189:BK189"/>
    <mergeCell ref="I189:M189"/>
    <mergeCell ref="N189:R189"/>
    <mergeCell ref="S189:W189"/>
    <mergeCell ref="X189:AB189"/>
    <mergeCell ref="AC189:AG189"/>
    <mergeCell ref="AH189:AL189"/>
    <mergeCell ref="AM189:AQ189"/>
    <mergeCell ref="AR190:AV190"/>
    <mergeCell ref="AW190:BA190"/>
    <mergeCell ref="BB190:BF190"/>
    <mergeCell ref="BG190:BK190"/>
    <mergeCell ref="I190:M190"/>
    <mergeCell ref="N190:R190"/>
    <mergeCell ref="S190:W190"/>
    <mergeCell ref="X190:AB190"/>
    <mergeCell ref="AC190:AG190"/>
    <mergeCell ref="AH190:AL190"/>
    <mergeCell ref="AM190:AQ190"/>
    <mergeCell ref="AR191:AV191"/>
    <mergeCell ref="AW191:BA191"/>
    <mergeCell ref="BB191:BF191"/>
    <mergeCell ref="BG191:BK191"/>
    <mergeCell ref="I191:M191"/>
    <mergeCell ref="N191:R191"/>
    <mergeCell ref="S191:W191"/>
    <mergeCell ref="X191:AB191"/>
    <mergeCell ref="AC191:AG191"/>
    <mergeCell ref="AH191:AL191"/>
    <mergeCell ref="AM191:AQ191"/>
    <mergeCell ref="AR192:AV192"/>
    <mergeCell ref="AW192:BA192"/>
    <mergeCell ref="BB192:BF192"/>
    <mergeCell ref="BG192:BK192"/>
    <mergeCell ref="I192:M192"/>
    <mergeCell ref="N192:R192"/>
    <mergeCell ref="S192:W192"/>
    <mergeCell ref="X192:AB192"/>
    <mergeCell ref="AC192:AG192"/>
    <mergeCell ref="AH192:AL192"/>
    <mergeCell ref="AM192:AQ192"/>
    <mergeCell ref="AR193:AV193"/>
    <mergeCell ref="AW193:BA193"/>
    <mergeCell ref="BB193:BF193"/>
    <mergeCell ref="BG193:BK193"/>
    <mergeCell ref="I193:M193"/>
    <mergeCell ref="N193:R193"/>
    <mergeCell ref="S193:W193"/>
    <mergeCell ref="X193:AB193"/>
    <mergeCell ref="AC193:AG193"/>
    <mergeCell ref="AH193:AL193"/>
    <mergeCell ref="AM193:AQ193"/>
    <mergeCell ref="AR194:AV194"/>
    <mergeCell ref="AW194:BA194"/>
    <mergeCell ref="BB194:BF194"/>
    <mergeCell ref="BG194:BK194"/>
    <mergeCell ref="I194:M194"/>
    <mergeCell ref="N194:R194"/>
    <mergeCell ref="S194:W194"/>
    <mergeCell ref="X194:AB194"/>
    <mergeCell ref="AC194:AG194"/>
    <mergeCell ref="AH194:AL194"/>
    <mergeCell ref="AM194:AQ194"/>
    <mergeCell ref="AR195:AV195"/>
    <mergeCell ref="AW195:BA195"/>
    <mergeCell ref="BB195:BF195"/>
    <mergeCell ref="BG195:BK195"/>
    <mergeCell ref="I195:M195"/>
    <mergeCell ref="N195:R195"/>
    <mergeCell ref="S195:W195"/>
    <mergeCell ref="X195:AB195"/>
    <mergeCell ref="AC195:AG195"/>
    <mergeCell ref="AH195:AL195"/>
    <mergeCell ref="AM195:AQ195"/>
    <mergeCell ref="AR196:AV196"/>
    <mergeCell ref="AW196:BA196"/>
    <mergeCell ref="BB196:BF196"/>
    <mergeCell ref="BG196:BK196"/>
    <mergeCell ref="I196:M196"/>
    <mergeCell ref="N196:R196"/>
    <mergeCell ref="S196:W196"/>
    <mergeCell ref="X196:AB196"/>
    <mergeCell ref="AC196:AG196"/>
    <mergeCell ref="AH196:AL196"/>
    <mergeCell ref="AM196:AQ196"/>
    <mergeCell ref="AR197:AV197"/>
    <mergeCell ref="AW197:BA197"/>
    <mergeCell ref="BB197:BF197"/>
    <mergeCell ref="BG197:BK197"/>
    <mergeCell ref="I197:M197"/>
    <mergeCell ref="N197:R197"/>
    <mergeCell ref="S197:W197"/>
    <mergeCell ref="X197:AB197"/>
    <mergeCell ref="AC197:AG197"/>
    <mergeCell ref="AH197:AL197"/>
    <mergeCell ref="AM197:AQ197"/>
    <mergeCell ref="AR198:AV198"/>
    <mergeCell ref="AW198:BA198"/>
    <mergeCell ref="BB198:BF198"/>
    <mergeCell ref="BG198:BK198"/>
    <mergeCell ref="I198:M198"/>
    <mergeCell ref="N198:R198"/>
    <mergeCell ref="S198:W198"/>
    <mergeCell ref="X198:AB198"/>
    <mergeCell ref="AC198:AG198"/>
    <mergeCell ref="AH198:AL198"/>
    <mergeCell ref="AM198:AQ198"/>
    <mergeCell ref="AR199:AV199"/>
    <mergeCell ref="AW199:BA199"/>
    <mergeCell ref="BB199:BF199"/>
    <mergeCell ref="BG199:BK199"/>
    <mergeCell ref="I199:M199"/>
    <mergeCell ref="N199:R199"/>
    <mergeCell ref="S199:W199"/>
    <mergeCell ref="X199:AB199"/>
    <mergeCell ref="AC199:AG199"/>
    <mergeCell ref="AH199:AL199"/>
    <mergeCell ref="AM199:AQ199"/>
    <mergeCell ref="AR200:AV200"/>
    <mergeCell ref="AW200:BA200"/>
    <mergeCell ref="BB200:BF200"/>
    <mergeCell ref="BG200:BK200"/>
    <mergeCell ref="I200:M200"/>
    <mergeCell ref="N200:R200"/>
    <mergeCell ref="S200:W200"/>
    <mergeCell ref="X200:AB200"/>
    <mergeCell ref="AC200:AG200"/>
    <mergeCell ref="AH200:AL200"/>
    <mergeCell ref="AM200:AQ200"/>
    <mergeCell ref="AR201:AV201"/>
    <mergeCell ref="AW201:BA201"/>
    <mergeCell ref="BB201:BF201"/>
    <mergeCell ref="BG201:BK201"/>
    <mergeCell ref="I201:M201"/>
    <mergeCell ref="N201:R201"/>
    <mergeCell ref="S201:W201"/>
    <mergeCell ref="X201:AB201"/>
    <mergeCell ref="AC201:AG201"/>
    <mergeCell ref="AH201:AL201"/>
    <mergeCell ref="AM201:AQ201"/>
    <mergeCell ref="AR202:AV202"/>
    <mergeCell ref="AW202:BA202"/>
    <mergeCell ref="BB202:BF202"/>
    <mergeCell ref="BG202:BK202"/>
    <mergeCell ref="I202:M202"/>
    <mergeCell ref="N202:R202"/>
    <mergeCell ref="S202:W202"/>
    <mergeCell ref="X202:AB202"/>
    <mergeCell ref="AC202:AG202"/>
    <mergeCell ref="AH202:AL202"/>
    <mergeCell ref="AM202:AQ202"/>
    <mergeCell ref="AR203:AV203"/>
    <mergeCell ref="AW203:BA203"/>
    <mergeCell ref="BB203:BF203"/>
    <mergeCell ref="BG203:BK203"/>
    <mergeCell ref="I203:M203"/>
    <mergeCell ref="N203:R203"/>
    <mergeCell ref="S203:W203"/>
    <mergeCell ref="X203:AB203"/>
    <mergeCell ref="AC203:AG203"/>
    <mergeCell ref="AH203:AL203"/>
    <mergeCell ref="AM203:AQ203"/>
    <mergeCell ref="AR204:AV204"/>
    <mergeCell ref="AW204:BA204"/>
    <mergeCell ref="BB204:BF204"/>
    <mergeCell ref="BG204:BK204"/>
    <mergeCell ref="I204:M204"/>
    <mergeCell ref="N204:R204"/>
    <mergeCell ref="S204:W204"/>
    <mergeCell ref="X204:AB204"/>
    <mergeCell ref="AC204:AG204"/>
    <mergeCell ref="AH204:AL204"/>
    <mergeCell ref="AM204:AQ204"/>
    <mergeCell ref="AR205:AV205"/>
    <mergeCell ref="AW205:BA205"/>
    <mergeCell ref="BB205:BF205"/>
    <mergeCell ref="BG205:BK205"/>
    <mergeCell ref="I205:M205"/>
    <mergeCell ref="N205:R205"/>
    <mergeCell ref="S205:W205"/>
    <mergeCell ref="X205:AB205"/>
    <mergeCell ref="AC205:AG205"/>
    <mergeCell ref="AH205:AL205"/>
    <mergeCell ref="AM205:AQ205"/>
    <mergeCell ref="AR206:AV206"/>
    <mergeCell ref="AW206:BA206"/>
    <mergeCell ref="BB206:BF206"/>
    <mergeCell ref="BG206:BK206"/>
    <mergeCell ref="I206:M206"/>
    <mergeCell ref="N206:R206"/>
    <mergeCell ref="S206:W206"/>
    <mergeCell ref="X206:AB206"/>
    <mergeCell ref="AC206:AG206"/>
    <mergeCell ref="AH206:AL206"/>
    <mergeCell ref="AM206:AQ206"/>
    <mergeCell ref="AR207:AV207"/>
    <mergeCell ref="AW207:BA207"/>
    <mergeCell ref="BB207:BF207"/>
    <mergeCell ref="BG207:BK207"/>
    <mergeCell ref="I207:M207"/>
    <mergeCell ref="N207:R207"/>
    <mergeCell ref="S207:W207"/>
    <mergeCell ref="X207:AB207"/>
    <mergeCell ref="AC207:AG207"/>
    <mergeCell ref="AH207:AL207"/>
    <mergeCell ref="AM207:AQ20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showGridLines="0" workbookViewId="0"/>
  </sheetViews>
  <sheetFormatPr customHeight="1" defaultColWidth="13.44" defaultRowHeight="15.0"/>
  <cols>
    <col customWidth="1" min="1" max="1" width="3.78"/>
    <col customWidth="1" min="2" max="2" width="24.33"/>
    <col customWidth="1" min="3" max="3" width="15.78"/>
    <col customWidth="1" min="4" max="4" width="8.0"/>
    <col customWidth="1" min="5" max="5" width="6.78"/>
    <col customWidth="1" min="6" max="6" width="12.44"/>
    <col customWidth="1" min="7" max="7" width="12.33"/>
    <col customWidth="1" min="8" max="8" width="4.0"/>
    <col customWidth="1" min="9" max="63" width="3.0"/>
  </cols>
  <sheetData>
    <row r="1" ht="21.0" customHeight="1">
      <c r="A1" s="1" t="s">
        <v>0</v>
      </c>
      <c r="B1" s="2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4" t="s">
        <v>0</v>
      </c>
      <c r="H1" s="4" t="s">
        <v>0</v>
      </c>
      <c r="I1" s="5" t="s">
        <v>0</v>
      </c>
      <c r="J1" s="6" t="s">
        <v>0</v>
      </c>
      <c r="K1" s="7" t="s">
        <v>0</v>
      </c>
      <c r="L1" s="8" t="s">
        <v>0</v>
      </c>
      <c r="M1" s="7" t="s">
        <v>0</v>
      </c>
      <c r="N1" s="9" t="s">
        <v>0</v>
      </c>
      <c r="O1" s="10" t="s">
        <v>0</v>
      </c>
      <c r="P1" s="10" t="s">
        <v>0</v>
      </c>
      <c r="Q1" s="10" t="s">
        <v>0</v>
      </c>
      <c r="R1" s="10" t="s">
        <v>0</v>
      </c>
      <c r="S1" s="10" t="s">
        <v>0</v>
      </c>
      <c r="T1" s="10" t="s">
        <v>0</v>
      </c>
      <c r="U1" s="10" t="s">
        <v>0</v>
      </c>
      <c r="V1" s="10" t="s">
        <v>0</v>
      </c>
      <c r="W1" s="10" t="s">
        <v>0</v>
      </c>
      <c r="X1" s="10" t="s">
        <v>0</v>
      </c>
      <c r="Y1" s="11" t="s">
        <v>0</v>
      </c>
      <c r="Z1" s="11" t="s">
        <v>0</v>
      </c>
      <c r="AA1" s="11" t="s">
        <v>0</v>
      </c>
      <c r="AB1" s="11" t="s">
        <v>0</v>
      </c>
      <c r="AC1" s="10" t="s">
        <v>0</v>
      </c>
      <c r="AD1" s="10" t="s">
        <v>0</v>
      </c>
      <c r="AE1" s="10" t="s">
        <v>0</v>
      </c>
      <c r="AF1" s="10" t="s">
        <v>0</v>
      </c>
      <c r="AG1" s="10" t="s">
        <v>0</v>
      </c>
      <c r="AH1" s="10" t="s">
        <v>0</v>
      </c>
      <c r="AI1" s="10" t="s">
        <v>0</v>
      </c>
      <c r="AJ1" s="10" t="s">
        <v>0</v>
      </c>
      <c r="AK1" s="10" t="s">
        <v>0</v>
      </c>
      <c r="AL1" s="10" t="s">
        <v>0</v>
      </c>
      <c r="AM1" s="10" t="s">
        <v>0</v>
      </c>
      <c r="AN1" s="10" t="s">
        <v>0</v>
      </c>
      <c r="AO1" s="10" t="s">
        <v>0</v>
      </c>
      <c r="AP1" s="10" t="s">
        <v>0</v>
      </c>
      <c r="AQ1" s="10" t="s">
        <v>0</v>
      </c>
      <c r="AR1" s="10" t="s">
        <v>0</v>
      </c>
      <c r="AS1" s="10" t="s">
        <v>0</v>
      </c>
      <c r="AT1" s="10" t="s">
        <v>0</v>
      </c>
      <c r="AU1" s="10" t="s">
        <v>0</v>
      </c>
      <c r="AV1" s="10" t="s">
        <v>0</v>
      </c>
      <c r="AW1" s="10" t="s">
        <v>0</v>
      </c>
      <c r="AX1" s="10" t="s">
        <v>0</v>
      </c>
      <c r="AY1" s="10" t="s">
        <v>0</v>
      </c>
      <c r="AZ1" s="10" t="s">
        <v>0</v>
      </c>
      <c r="BA1" s="10" t="s">
        <v>0</v>
      </c>
      <c r="BB1" s="10" t="s">
        <v>0</v>
      </c>
      <c r="BC1" s="10" t="s">
        <v>0</v>
      </c>
      <c r="BD1" s="10" t="s">
        <v>0</v>
      </c>
      <c r="BE1" s="10" t="s">
        <v>0</v>
      </c>
      <c r="BF1" s="10" t="s">
        <v>0</v>
      </c>
      <c r="BG1" s="10" t="s">
        <v>0</v>
      </c>
      <c r="BH1" s="10" t="s">
        <v>0</v>
      </c>
      <c r="BI1" s="10" t="s">
        <v>0</v>
      </c>
      <c r="BJ1" s="10" t="s">
        <v>0</v>
      </c>
      <c r="BK1" s="10" t="s">
        <v>0</v>
      </c>
    </row>
    <row r="2" ht="21.0" customHeight="1">
      <c r="A2" s="10"/>
      <c r="B2" s="12" t="s">
        <v>1</v>
      </c>
      <c r="C2" s="12"/>
      <c r="D2" s="12"/>
      <c r="E2" s="12"/>
      <c r="F2" s="12"/>
      <c r="G2" s="12"/>
      <c r="H2" s="12"/>
      <c r="I2" s="13"/>
      <c r="J2" s="14"/>
      <c r="K2" s="14"/>
      <c r="L2" s="14"/>
      <c r="M2" s="14"/>
      <c r="N2" s="14"/>
      <c r="O2" s="15"/>
      <c r="P2" s="14"/>
      <c r="Q2" s="14"/>
      <c r="R2" s="14"/>
      <c r="S2" s="14"/>
      <c r="T2" s="14"/>
      <c r="U2" s="14"/>
      <c r="V2" s="14"/>
      <c r="W2" s="14"/>
      <c r="X2" s="16"/>
      <c r="Y2" s="16"/>
      <c r="Z2" s="16"/>
      <c r="AA2" s="16"/>
      <c r="AB2" s="16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ht="21.0" customHeight="1">
      <c r="A3" s="17"/>
      <c r="B3" s="18"/>
      <c r="C3" s="18"/>
      <c r="D3" s="18"/>
      <c r="E3" s="18"/>
      <c r="F3" s="18"/>
      <c r="G3" s="18"/>
      <c r="H3" s="19"/>
      <c r="I3" s="18"/>
      <c r="J3" s="18"/>
      <c r="K3" s="18"/>
      <c r="L3" s="18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</row>
    <row r="4" ht="21.0" customHeight="1">
      <c r="A4" s="20"/>
      <c r="B4" s="21"/>
      <c r="D4" s="21"/>
      <c r="E4" s="21"/>
      <c r="I4" s="22" t="s">
        <v>2</v>
      </c>
      <c r="R4" s="23"/>
      <c r="S4" s="22" t="s">
        <v>3</v>
      </c>
      <c r="AB4" s="23"/>
      <c r="AC4" s="24" t="s">
        <v>4</v>
      </c>
      <c r="AL4" s="23"/>
      <c r="AM4" s="24" t="s">
        <v>5</v>
      </c>
      <c r="AV4" s="23"/>
      <c r="AW4" s="25" t="s">
        <v>6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7"/>
    </row>
    <row r="5" ht="21.0" customHeight="1">
      <c r="A5" s="28"/>
      <c r="D5" s="21"/>
      <c r="I5" s="29" t="s">
        <v>7</v>
      </c>
      <c r="J5" s="30"/>
      <c r="K5" s="30"/>
      <c r="L5" s="30"/>
      <c r="M5" s="30"/>
      <c r="N5" s="29" t="s">
        <v>8</v>
      </c>
      <c r="O5" s="30"/>
      <c r="P5" s="30"/>
      <c r="Q5" s="30"/>
      <c r="R5" s="30"/>
      <c r="S5" s="29" t="s">
        <v>7</v>
      </c>
      <c r="T5" s="30"/>
      <c r="U5" s="30"/>
      <c r="V5" s="30"/>
      <c r="W5" s="30"/>
      <c r="X5" s="29" t="s">
        <v>8</v>
      </c>
      <c r="Y5" s="30"/>
      <c r="Z5" s="30"/>
      <c r="AA5" s="30"/>
      <c r="AB5" s="30"/>
      <c r="AC5" s="29" t="s">
        <v>7</v>
      </c>
      <c r="AD5" s="30"/>
      <c r="AE5" s="30"/>
      <c r="AF5" s="30"/>
      <c r="AG5" s="30"/>
      <c r="AH5" s="29" t="s">
        <v>8</v>
      </c>
      <c r="AI5" s="30"/>
      <c r="AJ5" s="30"/>
      <c r="AK5" s="30"/>
      <c r="AL5" s="30"/>
      <c r="AM5" s="29" t="s">
        <v>7</v>
      </c>
      <c r="AN5" s="30"/>
      <c r="AO5" s="30"/>
      <c r="AP5" s="30"/>
      <c r="AQ5" s="30"/>
      <c r="AR5" s="29" t="s">
        <v>8</v>
      </c>
      <c r="AS5" s="30"/>
      <c r="AT5" s="30"/>
      <c r="AU5" s="30"/>
      <c r="AV5" s="30"/>
      <c r="AW5" s="31" t="s">
        <v>9</v>
      </c>
      <c r="AX5" s="30"/>
      <c r="AY5" s="30"/>
      <c r="AZ5" s="30"/>
      <c r="BA5" s="30"/>
      <c r="BB5" s="29" t="s">
        <v>8</v>
      </c>
      <c r="BC5" s="30"/>
      <c r="BD5" s="30"/>
      <c r="BE5" s="30"/>
      <c r="BF5" s="30"/>
      <c r="BG5" s="29" t="s">
        <v>10</v>
      </c>
      <c r="BH5" s="30"/>
      <c r="BI5" s="30"/>
      <c r="BJ5" s="30"/>
      <c r="BK5" s="32"/>
    </row>
    <row r="6" ht="21.0" customHeight="1">
      <c r="A6" s="33"/>
      <c r="B6" s="34" t="s">
        <v>11</v>
      </c>
      <c r="C6" s="34" t="s">
        <v>12</v>
      </c>
      <c r="D6" s="35" t="s">
        <v>13</v>
      </c>
      <c r="E6" s="36"/>
      <c r="F6" s="34" t="s">
        <v>14</v>
      </c>
      <c r="G6" s="34" t="s">
        <v>15</v>
      </c>
      <c r="H6" s="34" t="s">
        <v>16</v>
      </c>
      <c r="I6" s="37"/>
      <c r="J6" s="36"/>
      <c r="K6" s="36"/>
      <c r="L6" s="36"/>
      <c r="M6" s="36"/>
      <c r="N6" s="38"/>
      <c r="O6" s="36"/>
      <c r="P6" s="36"/>
      <c r="Q6" s="36"/>
      <c r="R6" s="36"/>
      <c r="S6" s="37"/>
      <c r="T6" s="36"/>
      <c r="U6" s="36"/>
      <c r="V6" s="36"/>
      <c r="W6" s="36"/>
      <c r="X6" s="38"/>
      <c r="Y6" s="36"/>
      <c r="Z6" s="36"/>
      <c r="AA6" s="36"/>
      <c r="AB6" s="36"/>
      <c r="AC6" s="38"/>
      <c r="AD6" s="36"/>
      <c r="AE6" s="36"/>
      <c r="AF6" s="36"/>
      <c r="AG6" s="36"/>
      <c r="AH6" s="38"/>
      <c r="AI6" s="36"/>
      <c r="AJ6" s="36"/>
      <c r="AK6" s="36"/>
      <c r="AL6" s="36"/>
      <c r="AM6" s="38"/>
      <c r="AN6" s="36"/>
      <c r="AO6" s="36"/>
      <c r="AP6" s="36"/>
      <c r="AQ6" s="36"/>
      <c r="AR6" s="38"/>
      <c r="AS6" s="36"/>
      <c r="AT6" s="36"/>
      <c r="AU6" s="36"/>
      <c r="AV6" s="36"/>
      <c r="AW6" s="39">
        <v>93000.0</v>
      </c>
      <c r="AX6" s="36"/>
      <c r="AY6" s="36"/>
      <c r="AZ6" s="36"/>
      <c r="BA6" s="36"/>
      <c r="BB6" s="40">
        <f>sum(BB7:BF42)</f>
        <v>45600.53</v>
      </c>
      <c r="BC6" s="36"/>
      <c r="BD6" s="36"/>
      <c r="BE6" s="36"/>
      <c r="BF6" s="36"/>
      <c r="BG6" s="41">
        <f>AW6-BB6</f>
        <v>47399.47</v>
      </c>
      <c r="BH6" s="36"/>
      <c r="BI6" s="36"/>
      <c r="BJ6" s="36"/>
      <c r="BK6" s="42"/>
    </row>
    <row r="7" ht="21.0" customHeight="1">
      <c r="A7" s="43"/>
      <c r="B7" s="44" t="s">
        <v>17</v>
      </c>
      <c r="C7" s="44" t="s">
        <v>18</v>
      </c>
      <c r="D7" s="45">
        <v>44830.0</v>
      </c>
      <c r="E7" s="45">
        <v>44831.0</v>
      </c>
      <c r="F7" s="44" t="s">
        <v>19</v>
      </c>
      <c r="G7" s="44" t="s">
        <v>20</v>
      </c>
      <c r="H7" s="44" t="s">
        <v>21</v>
      </c>
      <c r="I7" s="46">
        <v>628.62</v>
      </c>
      <c r="J7" s="47"/>
      <c r="K7" s="47"/>
      <c r="L7" s="47"/>
      <c r="M7" s="48"/>
      <c r="N7" s="49">
        <v>838.4</v>
      </c>
      <c r="O7" s="47"/>
      <c r="P7" s="47"/>
      <c r="Q7" s="47"/>
      <c r="R7" s="48"/>
      <c r="S7" s="50"/>
      <c r="T7" s="47"/>
      <c r="U7" s="47"/>
      <c r="V7" s="47"/>
      <c r="W7" s="48"/>
      <c r="X7" s="51"/>
      <c r="Y7" s="47"/>
      <c r="Z7" s="47"/>
      <c r="AA7" s="47"/>
      <c r="AB7" s="48"/>
      <c r="AC7" s="50"/>
      <c r="AD7" s="47"/>
      <c r="AE7" s="47"/>
      <c r="AF7" s="47"/>
      <c r="AG7" s="48"/>
      <c r="AH7" s="52"/>
      <c r="AI7" s="47"/>
      <c r="AJ7" s="47"/>
      <c r="AK7" s="47"/>
      <c r="AL7" s="48"/>
      <c r="AM7" s="50"/>
      <c r="AN7" s="47"/>
      <c r="AO7" s="47"/>
      <c r="AP7" s="47"/>
      <c r="AQ7" s="48"/>
      <c r="AR7" s="52"/>
      <c r="AS7" s="47"/>
      <c r="AT7" s="47"/>
      <c r="AU7" s="47"/>
      <c r="AV7" s="48"/>
      <c r="AW7" s="53"/>
      <c r="AX7" s="47"/>
      <c r="AY7" s="47"/>
      <c r="AZ7" s="47"/>
      <c r="BA7" s="48"/>
      <c r="BB7" s="54">
        <f>SUM(N7:R42)</f>
        <v>7807.93</v>
      </c>
      <c r="BC7" s="47"/>
      <c r="BD7" s="47"/>
      <c r="BE7" s="47"/>
      <c r="BF7" s="48"/>
      <c r="BG7" s="55" t="s">
        <v>22</v>
      </c>
      <c r="BH7" s="47"/>
      <c r="BI7" s="47"/>
      <c r="BJ7" s="47"/>
      <c r="BK7" s="56"/>
    </row>
    <row r="8" ht="21.0" customHeight="1">
      <c r="A8" s="43"/>
      <c r="B8" s="44" t="s">
        <v>23</v>
      </c>
      <c r="C8" s="44" t="s">
        <v>24</v>
      </c>
      <c r="D8" s="45">
        <v>44851.0</v>
      </c>
      <c r="E8" s="45">
        <v>44854.0</v>
      </c>
      <c r="F8" s="44" t="s">
        <v>25</v>
      </c>
      <c r="G8" s="44" t="s">
        <v>26</v>
      </c>
      <c r="H8" s="57" t="s">
        <v>27</v>
      </c>
      <c r="I8" s="46">
        <v>1333.38</v>
      </c>
      <c r="J8" s="47"/>
      <c r="K8" s="47"/>
      <c r="L8" s="47"/>
      <c r="M8" s="48"/>
      <c r="N8" s="49">
        <v>1288.08</v>
      </c>
      <c r="O8" s="47"/>
      <c r="P8" s="47"/>
      <c r="Q8" s="47"/>
      <c r="R8" s="48"/>
      <c r="S8" s="50"/>
      <c r="T8" s="47"/>
      <c r="U8" s="47"/>
      <c r="V8" s="47"/>
      <c r="W8" s="48"/>
      <c r="X8" s="51"/>
      <c r="Y8" s="47"/>
      <c r="Z8" s="47"/>
      <c r="AA8" s="47"/>
      <c r="AB8" s="48"/>
      <c r="AC8" s="50"/>
      <c r="AD8" s="47"/>
      <c r="AE8" s="47"/>
      <c r="AF8" s="47"/>
      <c r="AG8" s="48"/>
      <c r="AH8" s="52"/>
      <c r="AI8" s="47"/>
      <c r="AJ8" s="47"/>
      <c r="AK8" s="47"/>
      <c r="AL8" s="48"/>
      <c r="AM8" s="50"/>
      <c r="AN8" s="47"/>
      <c r="AO8" s="47"/>
      <c r="AP8" s="47"/>
      <c r="AQ8" s="48"/>
      <c r="AR8" s="52"/>
      <c r="AS8" s="47"/>
      <c r="AT8" s="47"/>
      <c r="AU8" s="47"/>
      <c r="AV8" s="48"/>
      <c r="AW8" s="53"/>
      <c r="AX8" s="47"/>
      <c r="AY8" s="47"/>
      <c r="AZ8" s="47"/>
      <c r="BA8" s="48"/>
      <c r="BB8" s="54">
        <f>SUM(X7:AB42)</f>
        <v>8141.7</v>
      </c>
      <c r="BC8" s="47"/>
      <c r="BD8" s="47"/>
      <c r="BE8" s="47"/>
      <c r="BF8" s="48"/>
      <c r="BG8" s="55" t="s">
        <v>3</v>
      </c>
      <c r="BH8" s="47"/>
      <c r="BI8" s="47"/>
      <c r="BJ8" s="47"/>
      <c r="BK8" s="56"/>
    </row>
    <row r="9" ht="21.0" customHeight="1">
      <c r="A9" s="43"/>
      <c r="B9" s="44" t="s">
        <v>28</v>
      </c>
      <c r="C9" s="44" t="s">
        <v>29</v>
      </c>
      <c r="D9" s="45">
        <v>44872.0</v>
      </c>
      <c r="E9" s="45">
        <v>44875.0</v>
      </c>
      <c r="F9" s="44" t="s">
        <v>30</v>
      </c>
      <c r="G9" s="44" t="s">
        <v>26</v>
      </c>
      <c r="H9" s="57" t="s">
        <v>21</v>
      </c>
      <c r="I9" s="46">
        <v>1116.88</v>
      </c>
      <c r="J9" s="47"/>
      <c r="K9" s="47"/>
      <c r="L9" s="47"/>
      <c r="M9" s="48"/>
      <c r="N9" s="49">
        <v>1109.87</v>
      </c>
      <c r="O9" s="47"/>
      <c r="P9" s="47"/>
      <c r="Q9" s="47"/>
      <c r="R9" s="48"/>
      <c r="S9" s="50"/>
      <c r="T9" s="47"/>
      <c r="U9" s="47"/>
      <c r="V9" s="47"/>
      <c r="W9" s="48"/>
      <c r="X9" s="52"/>
      <c r="Y9" s="47"/>
      <c r="Z9" s="47"/>
      <c r="AA9" s="47"/>
      <c r="AB9" s="48"/>
      <c r="AC9" s="50"/>
      <c r="AD9" s="47"/>
      <c r="AE9" s="47"/>
      <c r="AF9" s="47"/>
      <c r="AG9" s="48"/>
      <c r="AH9" s="52"/>
      <c r="AI9" s="47"/>
      <c r="AJ9" s="47"/>
      <c r="AK9" s="47"/>
      <c r="AL9" s="48"/>
      <c r="AM9" s="50"/>
      <c r="AN9" s="47"/>
      <c r="AO9" s="47"/>
      <c r="AP9" s="47"/>
      <c r="AQ9" s="48"/>
      <c r="AR9" s="51"/>
      <c r="AS9" s="47"/>
      <c r="AT9" s="47"/>
      <c r="AU9" s="47"/>
      <c r="AV9" s="48"/>
      <c r="AW9" s="53"/>
      <c r="AX9" s="47"/>
      <c r="AY9" s="47"/>
      <c r="AZ9" s="47"/>
      <c r="BA9" s="48"/>
      <c r="BB9" s="54">
        <f>SUM(AH7:AL42)</f>
        <v>18135.55</v>
      </c>
      <c r="BC9" s="47"/>
      <c r="BD9" s="47"/>
      <c r="BE9" s="47"/>
      <c r="BF9" s="48"/>
      <c r="BG9" s="55" t="s">
        <v>4</v>
      </c>
      <c r="BH9" s="47"/>
      <c r="BI9" s="47"/>
      <c r="BJ9" s="47"/>
      <c r="BK9" s="56"/>
    </row>
    <row r="10" ht="21.0" customHeight="1">
      <c r="A10" s="43"/>
      <c r="B10" s="44" t="s">
        <v>23</v>
      </c>
      <c r="C10" s="44" t="s">
        <v>29</v>
      </c>
      <c r="D10" s="45">
        <v>44872.0</v>
      </c>
      <c r="E10" s="45">
        <v>44875.0</v>
      </c>
      <c r="F10" s="44" t="s">
        <v>30</v>
      </c>
      <c r="G10" s="44" t="s">
        <v>26</v>
      </c>
      <c r="H10" s="57" t="s">
        <v>21</v>
      </c>
      <c r="I10" s="46">
        <v>1063.57</v>
      </c>
      <c r="J10" s="47"/>
      <c r="K10" s="47"/>
      <c r="L10" s="47"/>
      <c r="M10" s="48"/>
      <c r="N10" s="49">
        <v>1023.96</v>
      </c>
      <c r="O10" s="47"/>
      <c r="P10" s="47"/>
      <c r="Q10" s="47"/>
      <c r="R10" s="48"/>
      <c r="S10" s="50"/>
      <c r="T10" s="47"/>
      <c r="U10" s="47"/>
      <c r="V10" s="47"/>
      <c r="W10" s="48"/>
      <c r="X10" s="51"/>
      <c r="Y10" s="47"/>
      <c r="Z10" s="47"/>
      <c r="AA10" s="47"/>
      <c r="AB10" s="48"/>
      <c r="AC10" s="50"/>
      <c r="AD10" s="47"/>
      <c r="AE10" s="47"/>
      <c r="AF10" s="47"/>
      <c r="AG10" s="48"/>
      <c r="AH10" s="52"/>
      <c r="AI10" s="47"/>
      <c r="AJ10" s="47"/>
      <c r="AK10" s="47"/>
      <c r="AL10" s="48"/>
      <c r="AM10" s="50"/>
      <c r="AN10" s="47"/>
      <c r="AO10" s="47"/>
      <c r="AP10" s="47"/>
      <c r="AQ10" s="48"/>
      <c r="AR10" s="52"/>
      <c r="AS10" s="47"/>
      <c r="AT10" s="47"/>
      <c r="AU10" s="47"/>
      <c r="AV10" s="48"/>
      <c r="AW10" s="53"/>
      <c r="AX10" s="47"/>
      <c r="AY10" s="47"/>
      <c r="AZ10" s="47"/>
      <c r="BA10" s="48"/>
      <c r="BB10" s="54">
        <f>SUM(AR7:AV42)</f>
        <v>11515.35</v>
      </c>
      <c r="BC10" s="47"/>
      <c r="BD10" s="47"/>
      <c r="BE10" s="47"/>
      <c r="BF10" s="48"/>
      <c r="BG10" s="55" t="s">
        <v>5</v>
      </c>
      <c r="BH10" s="47"/>
      <c r="BI10" s="47"/>
      <c r="BJ10" s="47"/>
      <c r="BK10" s="56"/>
    </row>
    <row r="11" ht="21.0" customHeight="1">
      <c r="A11" s="43"/>
      <c r="B11" s="44" t="s">
        <v>17</v>
      </c>
      <c r="C11" s="44" t="s">
        <v>31</v>
      </c>
      <c r="D11" s="45">
        <v>44900.0</v>
      </c>
      <c r="E11" s="45">
        <v>44904.0</v>
      </c>
      <c r="F11" s="44" t="s">
        <v>32</v>
      </c>
      <c r="G11" s="44" t="s">
        <v>26</v>
      </c>
      <c r="H11" s="44" t="s">
        <v>27</v>
      </c>
      <c r="I11" s="46">
        <v>2046.95</v>
      </c>
      <c r="J11" s="47"/>
      <c r="K11" s="47"/>
      <c r="L11" s="47"/>
      <c r="M11" s="48"/>
      <c r="N11" s="58">
        <v>2230.27</v>
      </c>
      <c r="O11" s="47"/>
      <c r="P11" s="47"/>
      <c r="Q11" s="47"/>
      <c r="R11" s="48"/>
      <c r="S11" s="50"/>
      <c r="T11" s="47"/>
      <c r="U11" s="47"/>
      <c r="V11" s="47"/>
      <c r="W11" s="48"/>
      <c r="X11" s="51"/>
      <c r="Y11" s="47"/>
      <c r="Z11" s="47"/>
      <c r="AA11" s="47"/>
      <c r="AB11" s="48"/>
      <c r="AC11" s="50"/>
      <c r="AD11" s="47"/>
      <c r="AE11" s="47"/>
      <c r="AF11" s="47"/>
      <c r="AG11" s="48"/>
      <c r="AH11" s="51"/>
      <c r="AI11" s="47"/>
      <c r="AJ11" s="47"/>
      <c r="AK11" s="47"/>
      <c r="AL11" s="48"/>
      <c r="AM11" s="50"/>
      <c r="AN11" s="47"/>
      <c r="AO11" s="47"/>
      <c r="AP11" s="47"/>
      <c r="AQ11" s="48"/>
      <c r="AR11" s="52"/>
      <c r="AS11" s="47"/>
      <c r="AT11" s="47"/>
      <c r="AU11" s="47"/>
      <c r="AV11" s="48"/>
      <c r="AW11" s="53"/>
      <c r="AX11" s="47"/>
      <c r="AY11" s="47"/>
      <c r="AZ11" s="47"/>
      <c r="BA11" s="48"/>
      <c r="BB11" s="59"/>
      <c r="BC11" s="47"/>
      <c r="BD11" s="47"/>
      <c r="BE11" s="47"/>
      <c r="BF11" s="48"/>
      <c r="BG11" s="59"/>
      <c r="BH11" s="47"/>
      <c r="BI11" s="47"/>
      <c r="BJ11" s="47"/>
      <c r="BK11" s="56"/>
    </row>
    <row r="12" ht="21.0" customHeight="1">
      <c r="A12" s="43"/>
      <c r="B12" s="44" t="s">
        <v>17</v>
      </c>
      <c r="C12" s="44" t="s">
        <v>33</v>
      </c>
      <c r="D12" s="45">
        <v>44914.0</v>
      </c>
      <c r="E12" s="45">
        <v>44915.0</v>
      </c>
      <c r="F12" s="44" t="s">
        <v>19</v>
      </c>
      <c r="G12" s="44" t="s">
        <v>20</v>
      </c>
      <c r="H12" s="57" t="s">
        <v>27</v>
      </c>
      <c r="I12" s="46">
        <v>604.37</v>
      </c>
      <c r="J12" s="47"/>
      <c r="K12" s="47"/>
      <c r="L12" s="47"/>
      <c r="M12" s="48"/>
      <c r="N12" s="58">
        <v>744.2</v>
      </c>
      <c r="O12" s="47"/>
      <c r="P12" s="47"/>
      <c r="Q12" s="47"/>
      <c r="R12" s="48"/>
      <c r="S12" s="50"/>
      <c r="T12" s="47"/>
      <c r="U12" s="47"/>
      <c r="V12" s="47"/>
      <c r="W12" s="48"/>
      <c r="X12" s="52"/>
      <c r="Y12" s="47"/>
      <c r="Z12" s="47"/>
      <c r="AA12" s="47"/>
      <c r="AB12" s="48"/>
      <c r="AC12" s="50"/>
      <c r="AD12" s="47"/>
      <c r="AE12" s="47"/>
      <c r="AF12" s="47"/>
      <c r="AG12" s="48"/>
      <c r="AH12" s="51"/>
      <c r="AI12" s="47"/>
      <c r="AJ12" s="47"/>
      <c r="AK12" s="47"/>
      <c r="AL12" s="48"/>
      <c r="AM12" s="50"/>
      <c r="AN12" s="47"/>
      <c r="AO12" s="47"/>
      <c r="AP12" s="47"/>
      <c r="AQ12" s="48"/>
      <c r="AR12" s="51"/>
      <c r="AS12" s="47"/>
      <c r="AT12" s="47"/>
      <c r="AU12" s="47"/>
      <c r="AV12" s="48"/>
      <c r="AW12" s="53"/>
      <c r="AX12" s="47"/>
      <c r="AY12" s="47"/>
      <c r="AZ12" s="47"/>
      <c r="BA12" s="48"/>
      <c r="BB12" s="59"/>
      <c r="BC12" s="47"/>
      <c r="BD12" s="47"/>
      <c r="BE12" s="47"/>
      <c r="BF12" s="48"/>
      <c r="BG12" s="59"/>
      <c r="BH12" s="47"/>
      <c r="BI12" s="47"/>
      <c r="BJ12" s="47"/>
      <c r="BK12" s="56"/>
    </row>
    <row r="13" ht="21.0" customHeight="1">
      <c r="A13" s="43"/>
      <c r="B13" s="44" t="s">
        <v>28</v>
      </c>
      <c r="C13" s="44" t="s">
        <v>33</v>
      </c>
      <c r="D13" s="45">
        <v>44916.0</v>
      </c>
      <c r="E13" s="45">
        <v>44917.0</v>
      </c>
      <c r="F13" s="44" t="s">
        <v>30</v>
      </c>
      <c r="G13" s="44" t="s">
        <v>20</v>
      </c>
      <c r="H13" s="57" t="s">
        <v>34</v>
      </c>
      <c r="I13" s="46">
        <v>594.87</v>
      </c>
      <c r="J13" s="47"/>
      <c r="K13" s="47"/>
      <c r="L13" s="47"/>
      <c r="M13" s="48"/>
      <c r="N13" s="58">
        <v>573.15</v>
      </c>
      <c r="O13" s="47"/>
      <c r="P13" s="47"/>
      <c r="Q13" s="47"/>
      <c r="R13" s="48"/>
      <c r="S13" s="50"/>
      <c r="T13" s="47"/>
      <c r="U13" s="47"/>
      <c r="V13" s="47"/>
      <c r="W13" s="48"/>
      <c r="X13" s="51"/>
      <c r="Y13" s="47"/>
      <c r="Z13" s="47"/>
      <c r="AA13" s="47"/>
      <c r="AB13" s="48"/>
      <c r="AC13" s="50"/>
      <c r="AD13" s="47"/>
      <c r="AE13" s="47"/>
      <c r="AF13" s="47"/>
      <c r="AG13" s="48"/>
      <c r="AH13" s="51"/>
      <c r="AI13" s="47"/>
      <c r="AJ13" s="47"/>
      <c r="AK13" s="47"/>
      <c r="AL13" s="48"/>
      <c r="AM13" s="50"/>
      <c r="AN13" s="47"/>
      <c r="AO13" s="47"/>
      <c r="AP13" s="47"/>
      <c r="AQ13" s="48"/>
      <c r="AR13" s="51"/>
      <c r="AS13" s="47"/>
      <c r="AT13" s="47"/>
      <c r="AU13" s="47"/>
      <c r="AV13" s="48"/>
      <c r="AW13" s="53"/>
      <c r="AX13" s="47"/>
      <c r="AY13" s="47"/>
      <c r="AZ13" s="47"/>
      <c r="BA13" s="48"/>
      <c r="BB13" s="59"/>
      <c r="BC13" s="47"/>
      <c r="BD13" s="47"/>
      <c r="BE13" s="47"/>
      <c r="BF13" s="48"/>
      <c r="BG13" s="59"/>
      <c r="BH13" s="47"/>
      <c r="BI13" s="47"/>
      <c r="BJ13" s="47"/>
      <c r="BK13" s="56"/>
    </row>
    <row r="14" ht="21.0" customHeight="1">
      <c r="A14" s="43"/>
      <c r="B14" s="44" t="s">
        <v>23</v>
      </c>
      <c r="C14" s="44" t="s">
        <v>35</v>
      </c>
      <c r="D14" s="45">
        <v>44943.0</v>
      </c>
      <c r="E14" s="45">
        <v>44946.0</v>
      </c>
      <c r="F14" s="44" t="s">
        <v>36</v>
      </c>
      <c r="G14" s="44" t="s">
        <v>20</v>
      </c>
      <c r="H14" s="57" t="s">
        <v>21</v>
      </c>
      <c r="I14" s="50"/>
      <c r="J14" s="47"/>
      <c r="K14" s="47"/>
      <c r="L14" s="47"/>
      <c r="M14" s="48"/>
      <c r="N14" s="51"/>
      <c r="O14" s="47"/>
      <c r="P14" s="47"/>
      <c r="Q14" s="47"/>
      <c r="R14" s="48"/>
      <c r="S14" s="46">
        <v>1359.13</v>
      </c>
      <c r="T14" s="47"/>
      <c r="U14" s="47"/>
      <c r="V14" s="47"/>
      <c r="W14" s="48"/>
      <c r="X14" s="49">
        <v>1559.09</v>
      </c>
      <c r="Y14" s="47"/>
      <c r="Z14" s="47"/>
      <c r="AA14" s="47"/>
      <c r="AB14" s="48"/>
      <c r="AC14" s="50"/>
      <c r="AD14" s="47"/>
      <c r="AE14" s="47"/>
      <c r="AF14" s="47"/>
      <c r="AG14" s="48"/>
      <c r="AH14" s="51"/>
      <c r="AI14" s="47"/>
      <c r="AJ14" s="47"/>
      <c r="AK14" s="47"/>
      <c r="AL14" s="48"/>
      <c r="AM14" s="50"/>
      <c r="AN14" s="47"/>
      <c r="AO14" s="47"/>
      <c r="AP14" s="47"/>
      <c r="AQ14" s="48"/>
      <c r="AR14" s="51"/>
      <c r="AS14" s="47"/>
      <c r="AT14" s="47"/>
      <c r="AU14" s="47"/>
      <c r="AV14" s="48"/>
      <c r="AW14" s="53"/>
      <c r="AX14" s="47"/>
      <c r="AY14" s="47"/>
      <c r="AZ14" s="47"/>
      <c r="BA14" s="48"/>
      <c r="BB14" s="59"/>
      <c r="BC14" s="47"/>
      <c r="BD14" s="47"/>
      <c r="BE14" s="47"/>
      <c r="BF14" s="48"/>
      <c r="BG14" s="59"/>
      <c r="BH14" s="47"/>
      <c r="BI14" s="47"/>
      <c r="BJ14" s="47"/>
      <c r="BK14" s="56"/>
    </row>
    <row r="15" ht="21.0" customHeight="1">
      <c r="A15" s="43"/>
      <c r="B15" s="44" t="s">
        <v>17</v>
      </c>
      <c r="C15" s="44" t="s">
        <v>37</v>
      </c>
      <c r="D15" s="45">
        <v>44978.0</v>
      </c>
      <c r="E15" s="45">
        <v>44981.0</v>
      </c>
      <c r="F15" s="44" t="s">
        <v>38</v>
      </c>
      <c r="G15" s="44" t="s">
        <v>26</v>
      </c>
      <c r="H15" s="44" t="s">
        <v>21</v>
      </c>
      <c r="I15" s="60"/>
      <c r="J15" s="47"/>
      <c r="K15" s="47"/>
      <c r="L15" s="47"/>
      <c r="M15" s="48"/>
      <c r="N15" s="61"/>
      <c r="O15" s="47"/>
      <c r="P15" s="47"/>
      <c r="Q15" s="47"/>
      <c r="R15" s="48"/>
      <c r="S15" s="46">
        <v>1433.68</v>
      </c>
      <c r="T15" s="47"/>
      <c r="U15" s="47"/>
      <c r="V15" s="47"/>
      <c r="W15" s="48"/>
      <c r="X15" s="49">
        <v>1640.99</v>
      </c>
      <c r="Y15" s="47"/>
      <c r="Z15" s="47"/>
      <c r="AA15" s="47"/>
      <c r="AB15" s="48"/>
      <c r="AC15" s="50"/>
      <c r="AD15" s="47"/>
      <c r="AE15" s="47"/>
      <c r="AF15" s="47"/>
      <c r="AG15" s="48"/>
      <c r="AH15" s="51"/>
      <c r="AI15" s="47"/>
      <c r="AJ15" s="47"/>
      <c r="AK15" s="47"/>
      <c r="AL15" s="48"/>
      <c r="AM15" s="50"/>
      <c r="AN15" s="47"/>
      <c r="AO15" s="47"/>
      <c r="AP15" s="47"/>
      <c r="AQ15" s="48"/>
      <c r="AR15" s="51"/>
      <c r="AS15" s="47"/>
      <c r="AT15" s="47"/>
      <c r="AU15" s="47"/>
      <c r="AV15" s="48"/>
      <c r="AW15" s="53"/>
      <c r="AX15" s="47"/>
      <c r="AY15" s="47"/>
      <c r="AZ15" s="47"/>
      <c r="BA15" s="48"/>
      <c r="BB15" s="59"/>
      <c r="BC15" s="47"/>
      <c r="BD15" s="47"/>
      <c r="BE15" s="47"/>
      <c r="BF15" s="48"/>
      <c r="BG15" s="59"/>
      <c r="BH15" s="47"/>
      <c r="BI15" s="47"/>
      <c r="BJ15" s="47"/>
      <c r="BK15" s="56"/>
    </row>
    <row r="16" ht="21.0" customHeight="1">
      <c r="A16" s="43"/>
      <c r="B16" s="44" t="s">
        <v>17</v>
      </c>
      <c r="C16" s="44" t="s">
        <v>40</v>
      </c>
      <c r="D16" s="45">
        <v>44998.0</v>
      </c>
      <c r="E16" s="45">
        <v>45001.0</v>
      </c>
      <c r="F16" s="44" t="s">
        <v>36</v>
      </c>
      <c r="G16" s="44" t="s">
        <v>26</v>
      </c>
      <c r="H16" s="44" t="s">
        <v>27</v>
      </c>
      <c r="I16" s="60"/>
      <c r="J16" s="47"/>
      <c r="K16" s="47"/>
      <c r="L16" s="47"/>
      <c r="M16" s="48"/>
      <c r="N16" s="61"/>
      <c r="O16" s="47"/>
      <c r="P16" s="47"/>
      <c r="Q16" s="47"/>
      <c r="R16" s="48"/>
      <c r="S16" s="46">
        <v>1451.39</v>
      </c>
      <c r="T16" s="47"/>
      <c r="U16" s="47"/>
      <c r="V16" s="47"/>
      <c r="W16" s="48"/>
      <c r="X16" s="49">
        <v>1559.73</v>
      </c>
      <c r="Y16" s="47"/>
      <c r="Z16" s="47"/>
      <c r="AA16" s="47"/>
      <c r="AB16" s="48"/>
      <c r="AC16" s="50"/>
      <c r="AD16" s="47"/>
      <c r="AE16" s="47"/>
      <c r="AF16" s="47"/>
      <c r="AG16" s="48"/>
      <c r="AH16" s="51"/>
      <c r="AI16" s="47"/>
      <c r="AJ16" s="47"/>
      <c r="AK16" s="47"/>
      <c r="AL16" s="48"/>
      <c r="AM16" s="50"/>
      <c r="AN16" s="47"/>
      <c r="AO16" s="47"/>
      <c r="AP16" s="47"/>
      <c r="AQ16" s="48"/>
      <c r="AR16" s="51"/>
      <c r="AS16" s="47"/>
      <c r="AT16" s="47"/>
      <c r="AU16" s="47"/>
      <c r="AV16" s="48"/>
      <c r="AW16" s="53"/>
      <c r="AX16" s="47"/>
      <c r="AY16" s="47"/>
      <c r="AZ16" s="47"/>
      <c r="BA16" s="48"/>
      <c r="BB16" s="59"/>
      <c r="BC16" s="47"/>
      <c r="BD16" s="47"/>
      <c r="BE16" s="47"/>
      <c r="BF16" s="48"/>
      <c r="BG16" s="59"/>
      <c r="BH16" s="47"/>
      <c r="BI16" s="47"/>
      <c r="BJ16" s="47"/>
      <c r="BK16" s="56"/>
    </row>
    <row r="17" ht="21.0" customHeight="1">
      <c r="A17" s="43"/>
      <c r="B17" s="44" t="s">
        <v>17</v>
      </c>
      <c r="C17" s="44" t="s">
        <v>41</v>
      </c>
      <c r="D17" s="45">
        <v>45005.0</v>
      </c>
      <c r="E17" s="45">
        <v>45008.0</v>
      </c>
      <c r="F17" s="44" t="s">
        <v>19</v>
      </c>
      <c r="G17" s="44" t="s">
        <v>26</v>
      </c>
      <c r="H17" s="44" t="s">
        <v>21</v>
      </c>
      <c r="I17" s="60"/>
      <c r="J17" s="47"/>
      <c r="K17" s="47"/>
      <c r="L17" s="47"/>
      <c r="M17" s="48"/>
      <c r="N17" s="61"/>
      <c r="O17" s="47"/>
      <c r="P17" s="47"/>
      <c r="Q17" s="47"/>
      <c r="R17" s="48"/>
      <c r="S17" s="46">
        <v>1629.9</v>
      </c>
      <c r="T17" s="47"/>
      <c r="U17" s="47"/>
      <c r="V17" s="47"/>
      <c r="W17" s="48"/>
      <c r="X17" s="49">
        <v>1760.93</v>
      </c>
      <c r="Y17" s="47"/>
      <c r="Z17" s="47"/>
      <c r="AA17" s="47"/>
      <c r="AB17" s="48"/>
      <c r="AC17" s="50"/>
      <c r="AD17" s="47"/>
      <c r="AE17" s="47"/>
      <c r="AF17" s="47"/>
      <c r="AG17" s="48"/>
      <c r="AH17" s="51"/>
      <c r="AI17" s="47"/>
      <c r="AJ17" s="47"/>
      <c r="AK17" s="47"/>
      <c r="AL17" s="48"/>
      <c r="AM17" s="50"/>
      <c r="AN17" s="47"/>
      <c r="AO17" s="47"/>
      <c r="AP17" s="47"/>
      <c r="AQ17" s="48"/>
      <c r="AR17" s="51"/>
      <c r="AS17" s="47"/>
      <c r="AT17" s="47"/>
      <c r="AU17" s="47"/>
      <c r="AV17" s="48"/>
      <c r="AW17" s="53"/>
      <c r="AX17" s="47"/>
      <c r="AY17" s="47"/>
      <c r="AZ17" s="47"/>
      <c r="BA17" s="48"/>
      <c r="BB17" s="59"/>
      <c r="BC17" s="47"/>
      <c r="BD17" s="47"/>
      <c r="BE17" s="47"/>
      <c r="BF17" s="48"/>
      <c r="BG17" s="59"/>
      <c r="BH17" s="47"/>
      <c r="BI17" s="47"/>
      <c r="BJ17" s="47"/>
      <c r="BK17" s="56"/>
    </row>
    <row r="18" ht="21.0" customHeight="1">
      <c r="A18" s="43"/>
      <c r="B18" s="44" t="s">
        <v>42</v>
      </c>
      <c r="C18" s="44" t="s">
        <v>41</v>
      </c>
      <c r="D18" s="45">
        <v>45005.0</v>
      </c>
      <c r="E18" s="45">
        <v>45008.0</v>
      </c>
      <c r="F18" s="44" t="s">
        <v>19</v>
      </c>
      <c r="G18" s="44" t="s">
        <v>26</v>
      </c>
      <c r="H18" s="44" t="s">
        <v>21</v>
      </c>
      <c r="I18" s="60"/>
      <c r="J18" s="47"/>
      <c r="K18" s="47"/>
      <c r="L18" s="47"/>
      <c r="M18" s="48"/>
      <c r="N18" s="61"/>
      <c r="O18" s="47"/>
      <c r="P18" s="47"/>
      <c r="Q18" s="47"/>
      <c r="R18" s="48"/>
      <c r="S18" s="46">
        <v>1665.98</v>
      </c>
      <c r="T18" s="47"/>
      <c r="U18" s="47"/>
      <c r="V18" s="47"/>
      <c r="W18" s="48"/>
      <c r="X18" s="49">
        <v>1620.96</v>
      </c>
      <c r="Y18" s="47"/>
      <c r="Z18" s="47"/>
      <c r="AA18" s="47"/>
      <c r="AB18" s="48"/>
      <c r="AC18" s="50"/>
      <c r="AD18" s="47"/>
      <c r="AE18" s="47"/>
      <c r="AF18" s="47"/>
      <c r="AG18" s="48"/>
      <c r="AH18" s="51"/>
      <c r="AI18" s="47"/>
      <c r="AJ18" s="47"/>
      <c r="AK18" s="47"/>
      <c r="AL18" s="48"/>
      <c r="AM18" s="50"/>
      <c r="AN18" s="47"/>
      <c r="AO18" s="47"/>
      <c r="AP18" s="47"/>
      <c r="AQ18" s="48"/>
      <c r="AR18" s="51"/>
      <c r="AS18" s="47"/>
      <c r="AT18" s="47"/>
      <c r="AU18" s="47"/>
      <c r="AV18" s="48"/>
      <c r="AW18" s="53"/>
      <c r="AX18" s="47"/>
      <c r="AY18" s="47"/>
      <c r="AZ18" s="47"/>
      <c r="BA18" s="48"/>
      <c r="BB18" s="59"/>
      <c r="BC18" s="47"/>
      <c r="BD18" s="47"/>
      <c r="BE18" s="47"/>
      <c r="BF18" s="48"/>
      <c r="BG18" s="59"/>
      <c r="BH18" s="47"/>
      <c r="BI18" s="47"/>
      <c r="BJ18" s="47"/>
      <c r="BK18" s="56"/>
    </row>
    <row r="19" ht="21.0" customHeight="1">
      <c r="A19" s="43"/>
      <c r="B19" s="44" t="s">
        <v>23</v>
      </c>
      <c r="C19" s="44" t="s">
        <v>44</v>
      </c>
      <c r="D19" s="45">
        <v>45033.0</v>
      </c>
      <c r="E19" s="45">
        <v>45037.0</v>
      </c>
      <c r="F19" s="44" t="s">
        <v>38</v>
      </c>
      <c r="G19" s="44" t="s">
        <v>26</v>
      </c>
      <c r="H19" s="44" t="s">
        <v>21</v>
      </c>
      <c r="I19" s="60"/>
      <c r="J19" s="47"/>
      <c r="K19" s="47"/>
      <c r="L19" s="47"/>
      <c r="M19" s="48"/>
      <c r="N19" s="61"/>
      <c r="O19" s="47"/>
      <c r="P19" s="47"/>
      <c r="Q19" s="47"/>
      <c r="R19" s="48"/>
      <c r="S19" s="50"/>
      <c r="T19" s="47"/>
      <c r="U19" s="47"/>
      <c r="V19" s="47"/>
      <c r="W19" s="48"/>
      <c r="X19" s="51"/>
      <c r="Y19" s="47"/>
      <c r="Z19" s="47"/>
      <c r="AA19" s="47"/>
      <c r="AB19" s="48"/>
      <c r="AC19" s="46">
        <v>1853.62</v>
      </c>
      <c r="AD19" s="47"/>
      <c r="AE19" s="47"/>
      <c r="AF19" s="47"/>
      <c r="AG19" s="48"/>
      <c r="AH19" s="49">
        <v>1961.38</v>
      </c>
      <c r="AI19" s="47"/>
      <c r="AJ19" s="47"/>
      <c r="AK19" s="47"/>
      <c r="AL19" s="48"/>
      <c r="AM19" s="50"/>
      <c r="AN19" s="47"/>
      <c r="AO19" s="47"/>
      <c r="AP19" s="47"/>
      <c r="AQ19" s="48"/>
      <c r="AR19" s="51"/>
      <c r="AS19" s="47"/>
      <c r="AT19" s="47"/>
      <c r="AU19" s="47"/>
      <c r="AV19" s="48"/>
      <c r="AW19" s="53"/>
      <c r="AX19" s="47"/>
      <c r="AY19" s="47"/>
      <c r="AZ19" s="47"/>
      <c r="BA19" s="48"/>
      <c r="BB19" s="59"/>
      <c r="BC19" s="47"/>
      <c r="BD19" s="47"/>
      <c r="BE19" s="47"/>
      <c r="BF19" s="48"/>
      <c r="BG19" s="59"/>
      <c r="BH19" s="47"/>
      <c r="BI19" s="47"/>
      <c r="BJ19" s="47"/>
      <c r="BK19" s="56"/>
    </row>
    <row r="20" ht="21.0" customHeight="1">
      <c r="A20" s="43"/>
      <c r="B20" s="44" t="s">
        <v>17</v>
      </c>
      <c r="C20" s="44" t="s">
        <v>46</v>
      </c>
      <c r="D20" s="45">
        <v>45026.0</v>
      </c>
      <c r="E20" s="45">
        <v>45038.0</v>
      </c>
      <c r="F20" s="44" t="s">
        <v>47</v>
      </c>
      <c r="G20" s="44" t="s">
        <v>48</v>
      </c>
      <c r="H20" s="44" t="s">
        <v>49</v>
      </c>
      <c r="I20" s="60"/>
      <c r="J20" s="47"/>
      <c r="K20" s="47"/>
      <c r="L20" s="47"/>
      <c r="M20" s="48"/>
      <c r="N20" s="61"/>
      <c r="O20" s="47"/>
      <c r="P20" s="47"/>
      <c r="Q20" s="47"/>
      <c r="R20" s="48"/>
      <c r="S20" s="50"/>
      <c r="T20" s="47"/>
      <c r="U20" s="47"/>
      <c r="V20" s="47"/>
      <c r="W20" s="48"/>
      <c r="X20" s="51"/>
      <c r="Y20" s="47"/>
      <c r="Z20" s="47"/>
      <c r="AA20" s="47"/>
      <c r="AB20" s="48"/>
      <c r="AC20" s="46">
        <v>8031.74</v>
      </c>
      <c r="AD20" s="47"/>
      <c r="AE20" s="47"/>
      <c r="AF20" s="47"/>
      <c r="AG20" s="48"/>
      <c r="AH20" s="49">
        <v>8229.14</v>
      </c>
      <c r="AI20" s="47"/>
      <c r="AJ20" s="47"/>
      <c r="AK20" s="47"/>
      <c r="AL20" s="48"/>
      <c r="AM20" s="50"/>
      <c r="AN20" s="47"/>
      <c r="AO20" s="47"/>
      <c r="AP20" s="47"/>
      <c r="AQ20" s="48"/>
      <c r="AR20" s="51"/>
      <c r="AS20" s="47"/>
      <c r="AT20" s="47"/>
      <c r="AU20" s="47"/>
      <c r="AV20" s="48"/>
      <c r="AW20" s="53"/>
      <c r="AX20" s="47"/>
      <c r="AY20" s="47"/>
      <c r="AZ20" s="47"/>
      <c r="BA20" s="48"/>
      <c r="BB20" s="59"/>
      <c r="BC20" s="47"/>
      <c r="BD20" s="47"/>
      <c r="BE20" s="47"/>
      <c r="BF20" s="48"/>
      <c r="BG20" s="59"/>
      <c r="BH20" s="47"/>
      <c r="BI20" s="47"/>
      <c r="BJ20" s="47"/>
      <c r="BK20" s="56"/>
    </row>
    <row r="21" ht="21.0" customHeight="1">
      <c r="A21" s="43"/>
      <c r="B21" s="44" t="s">
        <v>23</v>
      </c>
      <c r="C21" s="44" t="s">
        <v>29</v>
      </c>
      <c r="D21" s="45">
        <v>45047.0</v>
      </c>
      <c r="E21" s="45">
        <v>45050.0</v>
      </c>
      <c r="F21" s="44" t="s">
        <v>50</v>
      </c>
      <c r="G21" s="44" t="s">
        <v>26</v>
      </c>
      <c r="H21" s="44" t="s">
        <v>21</v>
      </c>
      <c r="I21" s="60"/>
      <c r="J21" s="47"/>
      <c r="K21" s="47"/>
      <c r="L21" s="47"/>
      <c r="M21" s="48"/>
      <c r="N21" s="61"/>
      <c r="O21" s="47"/>
      <c r="P21" s="47"/>
      <c r="Q21" s="47"/>
      <c r="R21" s="48"/>
      <c r="S21" s="50"/>
      <c r="T21" s="47"/>
      <c r="U21" s="47"/>
      <c r="V21" s="47"/>
      <c r="W21" s="48"/>
      <c r="X21" s="51"/>
      <c r="Y21" s="47"/>
      <c r="Z21" s="47"/>
      <c r="AA21" s="47"/>
      <c r="AB21" s="48"/>
      <c r="AC21" s="46">
        <v>1057.67</v>
      </c>
      <c r="AD21" s="47"/>
      <c r="AE21" s="47"/>
      <c r="AF21" s="47"/>
      <c r="AG21" s="48"/>
      <c r="AH21" s="49">
        <v>1094.75</v>
      </c>
      <c r="AI21" s="47"/>
      <c r="AJ21" s="47"/>
      <c r="AK21" s="47"/>
      <c r="AL21" s="48"/>
      <c r="AM21" s="50"/>
      <c r="AN21" s="47"/>
      <c r="AO21" s="47"/>
      <c r="AP21" s="47"/>
      <c r="AQ21" s="48"/>
      <c r="AR21" s="51"/>
      <c r="AS21" s="47"/>
      <c r="AT21" s="47"/>
      <c r="AU21" s="47"/>
      <c r="AV21" s="48"/>
      <c r="AW21" s="53"/>
      <c r="AX21" s="47"/>
      <c r="AY21" s="47"/>
      <c r="AZ21" s="47"/>
      <c r="BA21" s="48"/>
      <c r="BB21" s="59"/>
      <c r="BC21" s="47"/>
      <c r="BD21" s="47"/>
      <c r="BE21" s="47"/>
      <c r="BF21" s="48"/>
      <c r="BG21" s="59"/>
      <c r="BH21" s="47"/>
      <c r="BI21" s="47"/>
      <c r="BJ21" s="47"/>
      <c r="BK21" s="56"/>
    </row>
    <row r="22" ht="21.0" customHeight="1">
      <c r="A22" s="43"/>
      <c r="B22" s="44" t="s">
        <v>42</v>
      </c>
      <c r="C22" s="44" t="s">
        <v>29</v>
      </c>
      <c r="D22" s="45">
        <v>45047.0</v>
      </c>
      <c r="E22" s="45">
        <v>45050.0</v>
      </c>
      <c r="F22" s="44" t="s">
        <v>50</v>
      </c>
      <c r="G22" s="44" t="s">
        <v>26</v>
      </c>
      <c r="H22" s="44" t="s">
        <v>21</v>
      </c>
      <c r="I22" s="60"/>
      <c r="J22" s="47"/>
      <c r="K22" s="47"/>
      <c r="L22" s="47"/>
      <c r="M22" s="48"/>
      <c r="N22" s="61"/>
      <c r="O22" s="47"/>
      <c r="P22" s="47"/>
      <c r="Q22" s="47"/>
      <c r="R22" s="48"/>
      <c r="S22" s="50"/>
      <c r="T22" s="47"/>
      <c r="U22" s="47"/>
      <c r="V22" s="47"/>
      <c r="W22" s="48"/>
      <c r="X22" s="51"/>
      <c r="Y22" s="47"/>
      <c r="Z22" s="47"/>
      <c r="AA22" s="47"/>
      <c r="AB22" s="48"/>
      <c r="AC22" s="46">
        <v>1114.39</v>
      </c>
      <c r="AD22" s="47"/>
      <c r="AE22" s="47"/>
      <c r="AF22" s="47"/>
      <c r="AG22" s="48"/>
      <c r="AH22" s="49">
        <v>1111.06</v>
      </c>
      <c r="AI22" s="47"/>
      <c r="AJ22" s="47"/>
      <c r="AK22" s="47"/>
      <c r="AL22" s="48"/>
      <c r="AM22" s="50"/>
      <c r="AN22" s="47"/>
      <c r="AO22" s="47"/>
      <c r="AP22" s="47"/>
      <c r="AQ22" s="48"/>
      <c r="AR22" s="51"/>
      <c r="AS22" s="47"/>
      <c r="AT22" s="47"/>
      <c r="AU22" s="47"/>
      <c r="AV22" s="48"/>
      <c r="AW22" s="53"/>
      <c r="AX22" s="47"/>
      <c r="AY22" s="47"/>
      <c r="AZ22" s="47"/>
      <c r="BA22" s="48"/>
      <c r="BB22" s="59"/>
      <c r="BC22" s="47"/>
      <c r="BD22" s="47"/>
      <c r="BE22" s="47"/>
      <c r="BF22" s="48"/>
      <c r="BG22" s="59"/>
      <c r="BH22" s="47"/>
      <c r="BI22" s="47"/>
      <c r="BJ22" s="47"/>
      <c r="BK22" s="56"/>
    </row>
    <row r="23" ht="21.0" customHeight="1">
      <c r="A23" s="43"/>
      <c r="B23" s="44" t="s">
        <v>28</v>
      </c>
      <c r="C23" s="44" t="s">
        <v>29</v>
      </c>
      <c r="D23" s="45">
        <v>45047.0</v>
      </c>
      <c r="E23" s="45">
        <v>45050.0</v>
      </c>
      <c r="F23" s="44" t="s">
        <v>50</v>
      </c>
      <c r="G23" s="44" t="s">
        <v>26</v>
      </c>
      <c r="H23" s="44" t="s">
        <v>21</v>
      </c>
      <c r="I23" s="60"/>
      <c r="J23" s="47"/>
      <c r="K23" s="47"/>
      <c r="L23" s="47"/>
      <c r="M23" s="48"/>
      <c r="N23" s="61"/>
      <c r="O23" s="47"/>
      <c r="P23" s="47"/>
      <c r="Q23" s="47"/>
      <c r="R23" s="48"/>
      <c r="S23" s="50"/>
      <c r="T23" s="47"/>
      <c r="U23" s="47"/>
      <c r="V23" s="47"/>
      <c r="W23" s="48"/>
      <c r="X23" s="51"/>
      <c r="Y23" s="47"/>
      <c r="Z23" s="47"/>
      <c r="AA23" s="47"/>
      <c r="AB23" s="48"/>
      <c r="AC23" s="46">
        <v>1245.38</v>
      </c>
      <c r="AD23" s="47"/>
      <c r="AE23" s="47"/>
      <c r="AF23" s="47"/>
      <c r="AG23" s="48"/>
      <c r="AH23" s="49">
        <v>1092.65</v>
      </c>
      <c r="AI23" s="47"/>
      <c r="AJ23" s="47"/>
      <c r="AK23" s="47"/>
      <c r="AL23" s="48"/>
      <c r="AM23" s="50"/>
      <c r="AN23" s="47"/>
      <c r="AO23" s="47"/>
      <c r="AP23" s="47"/>
      <c r="AQ23" s="48"/>
      <c r="AR23" s="51"/>
      <c r="AS23" s="47"/>
      <c r="AT23" s="47"/>
      <c r="AU23" s="47"/>
      <c r="AV23" s="48"/>
      <c r="AW23" s="53"/>
      <c r="AX23" s="47"/>
      <c r="AY23" s="47"/>
      <c r="AZ23" s="47"/>
      <c r="BA23" s="48"/>
      <c r="BB23" s="59"/>
      <c r="BC23" s="47"/>
      <c r="BD23" s="47"/>
      <c r="BE23" s="47"/>
      <c r="BF23" s="48"/>
      <c r="BG23" s="59"/>
      <c r="BH23" s="47"/>
      <c r="BI23" s="47"/>
      <c r="BJ23" s="47"/>
      <c r="BK23" s="56"/>
    </row>
    <row r="24" ht="21.0" customHeight="1">
      <c r="A24" s="43"/>
      <c r="B24" s="44" t="s">
        <v>17</v>
      </c>
      <c r="C24" s="44" t="s">
        <v>29</v>
      </c>
      <c r="D24" s="45">
        <v>45047.0</v>
      </c>
      <c r="E24" s="45">
        <v>45051.0</v>
      </c>
      <c r="F24" s="44" t="s">
        <v>50</v>
      </c>
      <c r="G24" s="44" t="s">
        <v>26</v>
      </c>
      <c r="H24" s="44" t="s">
        <v>21</v>
      </c>
      <c r="I24" s="60"/>
      <c r="J24" s="47"/>
      <c r="K24" s="47"/>
      <c r="L24" s="47"/>
      <c r="M24" s="48"/>
      <c r="N24" s="61"/>
      <c r="O24" s="47"/>
      <c r="P24" s="47"/>
      <c r="Q24" s="47"/>
      <c r="R24" s="48"/>
      <c r="S24" s="50"/>
      <c r="T24" s="47"/>
      <c r="U24" s="47"/>
      <c r="V24" s="47"/>
      <c r="W24" s="48"/>
      <c r="X24" s="51"/>
      <c r="Y24" s="47"/>
      <c r="Z24" s="47"/>
      <c r="AA24" s="47"/>
      <c r="AB24" s="48"/>
      <c r="AC24" s="46">
        <v>1194.39</v>
      </c>
      <c r="AD24" s="47"/>
      <c r="AE24" s="47"/>
      <c r="AF24" s="47"/>
      <c r="AG24" s="48"/>
      <c r="AH24" s="49">
        <v>1109.87</v>
      </c>
      <c r="AI24" s="47"/>
      <c r="AJ24" s="47"/>
      <c r="AK24" s="47"/>
      <c r="AL24" s="48"/>
      <c r="AM24" s="50"/>
      <c r="AN24" s="47"/>
      <c r="AO24" s="47"/>
      <c r="AP24" s="47"/>
      <c r="AQ24" s="48"/>
      <c r="AR24" s="51"/>
      <c r="AS24" s="47"/>
      <c r="AT24" s="47"/>
      <c r="AU24" s="47"/>
      <c r="AV24" s="48"/>
      <c r="AW24" s="53"/>
      <c r="AX24" s="47"/>
      <c r="AY24" s="47"/>
      <c r="AZ24" s="47"/>
      <c r="BA24" s="48"/>
      <c r="BB24" s="59"/>
      <c r="BC24" s="47"/>
      <c r="BD24" s="47"/>
      <c r="BE24" s="47"/>
      <c r="BF24" s="48"/>
      <c r="BG24" s="59"/>
      <c r="BH24" s="47"/>
      <c r="BI24" s="47"/>
      <c r="BJ24" s="47"/>
      <c r="BK24" s="56"/>
    </row>
    <row r="25" ht="21.0" customHeight="1">
      <c r="A25" s="43"/>
      <c r="B25" s="44" t="s">
        <v>17</v>
      </c>
      <c r="C25" s="44" t="s">
        <v>55</v>
      </c>
      <c r="D25" s="45">
        <v>45089.0</v>
      </c>
      <c r="E25" s="45">
        <v>45093.0</v>
      </c>
      <c r="F25" s="44" t="s">
        <v>32</v>
      </c>
      <c r="G25" s="44" t="s">
        <v>26</v>
      </c>
      <c r="H25" s="44" t="s">
        <v>21</v>
      </c>
      <c r="I25" s="60"/>
      <c r="J25" s="47"/>
      <c r="K25" s="47"/>
      <c r="L25" s="47"/>
      <c r="M25" s="48"/>
      <c r="N25" s="61"/>
      <c r="O25" s="47"/>
      <c r="P25" s="47"/>
      <c r="Q25" s="47"/>
      <c r="R25" s="48"/>
      <c r="S25" s="50"/>
      <c r="T25" s="47"/>
      <c r="U25" s="47"/>
      <c r="V25" s="47"/>
      <c r="W25" s="48"/>
      <c r="X25" s="51"/>
      <c r="Y25" s="47"/>
      <c r="Z25" s="47"/>
      <c r="AA25" s="47"/>
      <c r="AB25" s="48"/>
      <c r="AC25" s="46">
        <v>2279.61</v>
      </c>
      <c r="AD25" s="47"/>
      <c r="AE25" s="47"/>
      <c r="AF25" s="47"/>
      <c r="AG25" s="48"/>
      <c r="AH25" s="49" t="s">
        <v>56</v>
      </c>
      <c r="AI25" s="47"/>
      <c r="AJ25" s="47"/>
      <c r="AK25" s="47"/>
      <c r="AL25" s="48"/>
      <c r="AM25" s="50"/>
      <c r="AN25" s="47"/>
      <c r="AO25" s="47"/>
      <c r="AP25" s="47"/>
      <c r="AQ25" s="48"/>
      <c r="AR25" s="51"/>
      <c r="AS25" s="47"/>
      <c r="AT25" s="47"/>
      <c r="AU25" s="47"/>
      <c r="AV25" s="48"/>
      <c r="AW25" s="53"/>
      <c r="AX25" s="47"/>
      <c r="AY25" s="47"/>
      <c r="AZ25" s="47"/>
      <c r="BA25" s="48"/>
      <c r="BB25" s="59"/>
      <c r="BC25" s="47"/>
      <c r="BD25" s="47"/>
      <c r="BE25" s="47"/>
      <c r="BF25" s="48"/>
      <c r="BG25" s="59"/>
      <c r="BH25" s="47"/>
      <c r="BI25" s="47"/>
      <c r="BJ25" s="47"/>
      <c r="BK25" s="56"/>
    </row>
    <row r="26" ht="21.0" customHeight="1">
      <c r="A26" s="43"/>
      <c r="B26" s="44" t="s">
        <v>17</v>
      </c>
      <c r="C26" s="44" t="s">
        <v>37</v>
      </c>
      <c r="D26" s="45">
        <v>45089.0</v>
      </c>
      <c r="E26" s="45">
        <v>45096.0</v>
      </c>
      <c r="F26" s="44" t="s">
        <v>32</v>
      </c>
      <c r="G26" s="44" t="s">
        <v>26</v>
      </c>
      <c r="H26" s="44" t="s">
        <v>21</v>
      </c>
      <c r="I26" s="60"/>
      <c r="J26" s="47"/>
      <c r="K26" s="47"/>
      <c r="L26" s="47"/>
      <c r="M26" s="48"/>
      <c r="N26" s="61"/>
      <c r="O26" s="47"/>
      <c r="P26" s="47"/>
      <c r="Q26" s="47"/>
      <c r="R26" s="48"/>
      <c r="S26" s="50"/>
      <c r="T26" s="47"/>
      <c r="U26" s="47"/>
      <c r="V26" s="47"/>
      <c r="W26" s="48"/>
      <c r="X26" s="51"/>
      <c r="Y26" s="47"/>
      <c r="Z26" s="47"/>
      <c r="AA26" s="47"/>
      <c r="AB26" s="48"/>
      <c r="AC26" s="46">
        <v>3349.4</v>
      </c>
      <c r="AD26" s="47"/>
      <c r="AE26" s="47"/>
      <c r="AF26" s="47"/>
      <c r="AG26" s="48"/>
      <c r="AH26" s="49">
        <v>3075.17</v>
      </c>
      <c r="AI26" s="47"/>
      <c r="AJ26" s="47"/>
      <c r="AK26" s="47"/>
      <c r="AL26" s="48"/>
      <c r="AM26" s="50"/>
      <c r="AN26" s="47"/>
      <c r="AO26" s="47"/>
      <c r="AP26" s="47"/>
      <c r="AQ26" s="48"/>
      <c r="AR26" s="51"/>
      <c r="AS26" s="47"/>
      <c r="AT26" s="47"/>
      <c r="AU26" s="47"/>
      <c r="AV26" s="48"/>
      <c r="AW26" s="53"/>
      <c r="AX26" s="47"/>
      <c r="AY26" s="47"/>
      <c r="AZ26" s="47"/>
      <c r="BA26" s="48"/>
      <c r="BB26" s="59"/>
      <c r="BC26" s="47"/>
      <c r="BD26" s="47"/>
      <c r="BE26" s="47"/>
      <c r="BF26" s="48"/>
      <c r="BG26" s="59"/>
      <c r="BH26" s="47"/>
      <c r="BI26" s="47"/>
      <c r="BJ26" s="47"/>
      <c r="BK26" s="56"/>
    </row>
    <row r="27" ht="21.0" customHeight="1">
      <c r="A27" s="43"/>
      <c r="B27" s="44" t="s">
        <v>42</v>
      </c>
      <c r="C27" s="44" t="s">
        <v>58</v>
      </c>
      <c r="D27" s="45">
        <v>45056.0</v>
      </c>
      <c r="E27" s="45">
        <v>45056.0</v>
      </c>
      <c r="F27" s="44" t="s">
        <v>30</v>
      </c>
      <c r="G27" s="44" t="s">
        <v>59</v>
      </c>
      <c r="H27" s="44" t="s">
        <v>60</v>
      </c>
      <c r="I27" s="60"/>
      <c r="J27" s="47"/>
      <c r="K27" s="47"/>
      <c r="L27" s="47"/>
      <c r="M27" s="48"/>
      <c r="N27" s="61"/>
      <c r="O27" s="47"/>
      <c r="P27" s="47"/>
      <c r="Q27" s="47"/>
      <c r="R27" s="48"/>
      <c r="S27" s="50"/>
      <c r="T27" s="47"/>
      <c r="U27" s="47"/>
      <c r="V27" s="47"/>
      <c r="W27" s="48"/>
      <c r="X27" s="51"/>
      <c r="Y27" s="47"/>
      <c r="Z27" s="47"/>
      <c r="AA27" s="47"/>
      <c r="AB27" s="48"/>
      <c r="AC27" s="46" t="s">
        <v>56</v>
      </c>
      <c r="AD27" s="47"/>
      <c r="AE27" s="47"/>
      <c r="AF27" s="47"/>
      <c r="AG27" s="48"/>
      <c r="AH27" s="49">
        <v>23.83</v>
      </c>
      <c r="AI27" s="47"/>
      <c r="AJ27" s="47"/>
      <c r="AK27" s="47"/>
      <c r="AL27" s="48"/>
      <c r="AM27" s="50"/>
      <c r="AN27" s="47"/>
      <c r="AO27" s="47"/>
      <c r="AP27" s="47"/>
      <c r="AQ27" s="48"/>
      <c r="AR27" s="51"/>
      <c r="AS27" s="47"/>
      <c r="AT27" s="47"/>
      <c r="AU27" s="47"/>
      <c r="AV27" s="48"/>
      <c r="AW27" s="53"/>
      <c r="AX27" s="47"/>
      <c r="AY27" s="47"/>
      <c r="AZ27" s="47"/>
      <c r="BA27" s="48"/>
      <c r="BB27" s="59"/>
      <c r="BC27" s="47"/>
      <c r="BD27" s="47"/>
      <c r="BE27" s="47"/>
      <c r="BF27" s="48"/>
      <c r="BG27" s="59"/>
      <c r="BH27" s="47"/>
      <c r="BI27" s="47"/>
      <c r="BJ27" s="47"/>
      <c r="BK27" s="56"/>
    </row>
    <row r="28" ht="21.0" customHeight="1">
      <c r="A28" s="43"/>
      <c r="B28" s="44" t="s">
        <v>17</v>
      </c>
      <c r="C28" s="44" t="s">
        <v>62</v>
      </c>
      <c r="D28" s="45">
        <v>45097.0</v>
      </c>
      <c r="E28" s="45">
        <v>45099.0</v>
      </c>
      <c r="F28" s="44" t="s">
        <v>30</v>
      </c>
      <c r="G28" s="44" t="s">
        <v>59</v>
      </c>
      <c r="H28" s="44" t="s">
        <v>60</v>
      </c>
      <c r="I28" s="60"/>
      <c r="J28" s="47"/>
      <c r="K28" s="47"/>
      <c r="L28" s="47"/>
      <c r="M28" s="48"/>
      <c r="N28" s="61"/>
      <c r="O28" s="47"/>
      <c r="P28" s="47"/>
      <c r="Q28" s="47"/>
      <c r="R28" s="48"/>
      <c r="S28" s="50"/>
      <c r="T28" s="47"/>
      <c r="U28" s="47"/>
      <c r="V28" s="47"/>
      <c r="W28" s="48"/>
      <c r="X28" s="51"/>
      <c r="Y28" s="47"/>
      <c r="Z28" s="47"/>
      <c r="AA28" s="47"/>
      <c r="AB28" s="48"/>
      <c r="AC28" s="46" t="s">
        <v>56</v>
      </c>
      <c r="AD28" s="47"/>
      <c r="AE28" s="47"/>
      <c r="AF28" s="47"/>
      <c r="AG28" s="48"/>
      <c r="AH28" s="49">
        <v>260.88</v>
      </c>
      <c r="AI28" s="47"/>
      <c r="AJ28" s="47"/>
      <c r="AK28" s="47"/>
      <c r="AL28" s="48"/>
      <c r="AM28" s="50"/>
      <c r="AN28" s="47"/>
      <c r="AO28" s="47"/>
      <c r="AP28" s="47"/>
      <c r="AQ28" s="48"/>
      <c r="AR28" s="51"/>
      <c r="AS28" s="47"/>
      <c r="AT28" s="47"/>
      <c r="AU28" s="47"/>
      <c r="AV28" s="48"/>
      <c r="AW28" s="53"/>
      <c r="AX28" s="47"/>
      <c r="AY28" s="47"/>
      <c r="AZ28" s="47"/>
      <c r="BA28" s="48"/>
      <c r="BB28" s="59"/>
      <c r="BC28" s="47"/>
      <c r="BD28" s="47"/>
      <c r="BE28" s="47"/>
      <c r="BF28" s="48"/>
      <c r="BG28" s="59"/>
      <c r="BH28" s="47"/>
      <c r="BI28" s="47"/>
      <c r="BJ28" s="47"/>
      <c r="BK28" s="56"/>
    </row>
    <row r="29" ht="21.0" customHeight="1">
      <c r="A29" s="43"/>
      <c r="B29" s="44" t="s">
        <v>42</v>
      </c>
      <c r="C29" s="44" t="s">
        <v>62</v>
      </c>
      <c r="D29" s="45">
        <v>45097.0</v>
      </c>
      <c r="E29" s="45">
        <v>45099.0</v>
      </c>
      <c r="F29" s="44" t="s">
        <v>30</v>
      </c>
      <c r="G29" s="44" t="s">
        <v>59</v>
      </c>
      <c r="H29" s="44" t="s">
        <v>60</v>
      </c>
      <c r="I29" s="60"/>
      <c r="J29" s="47"/>
      <c r="K29" s="47"/>
      <c r="L29" s="47"/>
      <c r="M29" s="48"/>
      <c r="N29" s="61"/>
      <c r="O29" s="47"/>
      <c r="P29" s="47"/>
      <c r="Q29" s="47"/>
      <c r="R29" s="48"/>
      <c r="S29" s="50"/>
      <c r="T29" s="47"/>
      <c r="U29" s="47"/>
      <c r="V29" s="47"/>
      <c r="W29" s="48"/>
      <c r="X29" s="51"/>
      <c r="Y29" s="47"/>
      <c r="Z29" s="47"/>
      <c r="AA29" s="47"/>
      <c r="AB29" s="48"/>
      <c r="AC29" s="46" t="s">
        <v>56</v>
      </c>
      <c r="AD29" s="47"/>
      <c r="AE29" s="47"/>
      <c r="AF29" s="47"/>
      <c r="AG29" s="48"/>
      <c r="AH29" s="49">
        <v>176.82</v>
      </c>
      <c r="AI29" s="47"/>
      <c r="AJ29" s="47"/>
      <c r="AK29" s="47"/>
      <c r="AL29" s="48"/>
      <c r="AM29" s="50"/>
      <c r="AN29" s="47"/>
      <c r="AO29" s="47"/>
      <c r="AP29" s="47"/>
      <c r="AQ29" s="48"/>
      <c r="AR29" s="51"/>
      <c r="AS29" s="47"/>
      <c r="AT29" s="47"/>
      <c r="AU29" s="47"/>
      <c r="AV29" s="48"/>
      <c r="AW29" s="53"/>
      <c r="AX29" s="47"/>
      <c r="AY29" s="47"/>
      <c r="AZ29" s="47"/>
      <c r="BA29" s="48"/>
      <c r="BB29" s="59"/>
      <c r="BC29" s="47"/>
      <c r="BD29" s="47"/>
      <c r="BE29" s="47"/>
      <c r="BF29" s="48"/>
      <c r="BG29" s="59"/>
      <c r="BH29" s="47"/>
      <c r="BI29" s="47"/>
      <c r="BJ29" s="47"/>
      <c r="BK29" s="56"/>
    </row>
    <row r="30" ht="21.0" customHeight="1">
      <c r="A30" s="43"/>
      <c r="B30" s="44" t="s">
        <v>17</v>
      </c>
      <c r="C30" s="44" t="s">
        <v>68</v>
      </c>
      <c r="D30" s="45">
        <v>45152.0</v>
      </c>
      <c r="E30" s="45">
        <v>45154.0</v>
      </c>
      <c r="F30" s="44" t="s">
        <v>69</v>
      </c>
      <c r="G30" s="44" t="s">
        <v>26</v>
      </c>
      <c r="H30" s="44" t="s">
        <v>21</v>
      </c>
      <c r="I30" s="60"/>
      <c r="J30" s="47"/>
      <c r="K30" s="47"/>
      <c r="L30" s="47"/>
      <c r="M30" s="48"/>
      <c r="N30" s="61"/>
      <c r="O30" s="47"/>
      <c r="P30" s="47"/>
      <c r="Q30" s="47"/>
      <c r="R30" s="48"/>
      <c r="S30" s="50"/>
      <c r="T30" s="47"/>
      <c r="U30" s="47"/>
      <c r="V30" s="47"/>
      <c r="W30" s="48"/>
      <c r="X30" s="51"/>
      <c r="Y30" s="47"/>
      <c r="Z30" s="47"/>
      <c r="AA30" s="47"/>
      <c r="AB30" s="48"/>
      <c r="AC30" s="50"/>
      <c r="AD30" s="47"/>
      <c r="AE30" s="47"/>
      <c r="AF30" s="47"/>
      <c r="AG30" s="48"/>
      <c r="AH30" s="51"/>
      <c r="AI30" s="47"/>
      <c r="AJ30" s="47"/>
      <c r="AK30" s="47"/>
      <c r="AL30" s="48"/>
      <c r="AM30" s="46">
        <v>1245.25</v>
      </c>
      <c r="AN30" s="47"/>
      <c r="AO30" s="47"/>
      <c r="AP30" s="47"/>
      <c r="AQ30" s="48"/>
      <c r="AR30" s="49">
        <v>1324.47</v>
      </c>
      <c r="AS30" s="47"/>
      <c r="AT30" s="47"/>
      <c r="AU30" s="47"/>
      <c r="AV30" s="48"/>
      <c r="AW30" s="53"/>
      <c r="AX30" s="47"/>
      <c r="AY30" s="47"/>
      <c r="AZ30" s="47"/>
      <c r="BA30" s="48"/>
      <c r="BB30" s="59"/>
      <c r="BC30" s="47"/>
      <c r="BD30" s="47"/>
      <c r="BE30" s="47"/>
      <c r="BF30" s="48"/>
      <c r="BG30" s="59"/>
      <c r="BH30" s="47"/>
      <c r="BI30" s="47"/>
      <c r="BJ30" s="47"/>
      <c r="BK30" s="56"/>
    </row>
    <row r="31" ht="21.0" customHeight="1">
      <c r="A31" s="43"/>
      <c r="B31" s="44" t="s">
        <v>17</v>
      </c>
      <c r="C31" s="44" t="s">
        <v>72</v>
      </c>
      <c r="D31" s="45">
        <v>45159.0</v>
      </c>
      <c r="E31" s="45">
        <v>45163.0</v>
      </c>
      <c r="F31" s="44" t="s">
        <v>73</v>
      </c>
      <c r="G31" s="44" t="s">
        <v>26</v>
      </c>
      <c r="H31" s="44" t="s">
        <v>21</v>
      </c>
      <c r="I31" s="60"/>
      <c r="J31" s="47"/>
      <c r="K31" s="47"/>
      <c r="L31" s="47"/>
      <c r="M31" s="48"/>
      <c r="N31" s="61"/>
      <c r="O31" s="47"/>
      <c r="P31" s="47"/>
      <c r="Q31" s="47"/>
      <c r="R31" s="48"/>
      <c r="S31" s="50"/>
      <c r="T31" s="47"/>
      <c r="U31" s="47"/>
      <c r="V31" s="47"/>
      <c r="W31" s="48"/>
      <c r="X31" s="51"/>
      <c r="Y31" s="47"/>
      <c r="Z31" s="47"/>
      <c r="AA31" s="47"/>
      <c r="AB31" s="48"/>
      <c r="AC31" s="50"/>
      <c r="AD31" s="47"/>
      <c r="AE31" s="47"/>
      <c r="AF31" s="47"/>
      <c r="AG31" s="48"/>
      <c r="AH31" s="51"/>
      <c r="AI31" s="47"/>
      <c r="AJ31" s="47"/>
      <c r="AK31" s="47"/>
      <c r="AL31" s="48"/>
      <c r="AM31" s="46">
        <v>1289.27</v>
      </c>
      <c r="AN31" s="47"/>
      <c r="AO31" s="47"/>
      <c r="AP31" s="47"/>
      <c r="AQ31" s="48"/>
      <c r="AR31" s="49">
        <v>1225.26</v>
      </c>
      <c r="AS31" s="47"/>
      <c r="AT31" s="47"/>
      <c r="AU31" s="47"/>
      <c r="AV31" s="48"/>
      <c r="AW31" s="53"/>
      <c r="AX31" s="47"/>
      <c r="AY31" s="47"/>
      <c r="AZ31" s="47"/>
      <c r="BA31" s="48"/>
      <c r="BB31" s="59"/>
      <c r="BC31" s="47"/>
      <c r="BD31" s="47"/>
      <c r="BE31" s="47"/>
      <c r="BF31" s="48"/>
      <c r="BG31" s="59"/>
      <c r="BH31" s="47"/>
      <c r="BI31" s="47"/>
      <c r="BJ31" s="47"/>
      <c r="BK31" s="56"/>
    </row>
    <row r="32" ht="21.0" customHeight="1">
      <c r="A32" s="43"/>
      <c r="B32" s="44" t="s">
        <v>42</v>
      </c>
      <c r="C32" s="44" t="s">
        <v>75</v>
      </c>
      <c r="D32" s="45">
        <v>45125.0</v>
      </c>
      <c r="E32" s="45">
        <v>45125.0</v>
      </c>
      <c r="F32" s="44" t="s">
        <v>30</v>
      </c>
      <c r="G32" s="44" t="s">
        <v>26</v>
      </c>
      <c r="H32" s="44" t="s">
        <v>60</v>
      </c>
      <c r="I32" s="60"/>
      <c r="J32" s="47"/>
      <c r="K32" s="47"/>
      <c r="L32" s="47"/>
      <c r="M32" s="48"/>
      <c r="N32" s="61"/>
      <c r="O32" s="47"/>
      <c r="P32" s="47"/>
      <c r="Q32" s="47"/>
      <c r="R32" s="48"/>
      <c r="S32" s="50"/>
      <c r="T32" s="47"/>
      <c r="U32" s="47"/>
      <c r="V32" s="47"/>
      <c r="W32" s="48"/>
      <c r="X32" s="51"/>
      <c r="Y32" s="47"/>
      <c r="Z32" s="47"/>
      <c r="AA32" s="47"/>
      <c r="AB32" s="48"/>
      <c r="AC32" s="50"/>
      <c r="AD32" s="47"/>
      <c r="AE32" s="47"/>
      <c r="AF32" s="47"/>
      <c r="AG32" s="48"/>
      <c r="AH32" s="51"/>
      <c r="AI32" s="47"/>
      <c r="AJ32" s="47"/>
      <c r="AK32" s="47"/>
      <c r="AL32" s="48"/>
      <c r="AM32" s="46" t="s">
        <v>56</v>
      </c>
      <c r="AN32" s="47"/>
      <c r="AO32" s="47"/>
      <c r="AP32" s="47"/>
      <c r="AQ32" s="48"/>
      <c r="AR32" s="49">
        <v>51.83</v>
      </c>
      <c r="AS32" s="47"/>
      <c r="AT32" s="47"/>
      <c r="AU32" s="47"/>
      <c r="AV32" s="48"/>
      <c r="AW32" s="53"/>
      <c r="AX32" s="47"/>
      <c r="AY32" s="47"/>
      <c r="AZ32" s="47"/>
      <c r="BA32" s="48"/>
      <c r="BB32" s="59"/>
      <c r="BC32" s="47"/>
      <c r="BD32" s="47"/>
      <c r="BE32" s="47"/>
      <c r="BF32" s="48"/>
      <c r="BG32" s="59"/>
      <c r="BH32" s="47"/>
      <c r="BI32" s="47"/>
      <c r="BJ32" s="47"/>
      <c r="BK32" s="56"/>
    </row>
    <row r="33" ht="21.0" customHeight="1">
      <c r="A33" s="43"/>
      <c r="B33" s="44" t="s">
        <v>42</v>
      </c>
      <c r="C33" s="44" t="s">
        <v>79</v>
      </c>
      <c r="D33" s="45">
        <v>45195.0</v>
      </c>
      <c r="E33" s="45">
        <v>45196.0</v>
      </c>
      <c r="F33" s="44" t="s">
        <v>19</v>
      </c>
      <c r="G33" s="44" t="s">
        <v>26</v>
      </c>
      <c r="H33" s="44" t="s">
        <v>21</v>
      </c>
      <c r="I33" s="60"/>
      <c r="J33" s="47"/>
      <c r="K33" s="47"/>
      <c r="L33" s="47"/>
      <c r="M33" s="48"/>
      <c r="N33" s="61"/>
      <c r="O33" s="47"/>
      <c r="P33" s="47"/>
      <c r="Q33" s="47"/>
      <c r="R33" s="48"/>
      <c r="S33" s="50"/>
      <c r="T33" s="47"/>
      <c r="U33" s="47"/>
      <c r="V33" s="47"/>
      <c r="W33" s="48"/>
      <c r="X33" s="51"/>
      <c r="Y33" s="47"/>
      <c r="Z33" s="47"/>
      <c r="AA33" s="47"/>
      <c r="AB33" s="48"/>
      <c r="AC33" s="50"/>
      <c r="AD33" s="47"/>
      <c r="AE33" s="47"/>
      <c r="AF33" s="47"/>
      <c r="AG33" s="48"/>
      <c r="AH33" s="51"/>
      <c r="AI33" s="47"/>
      <c r="AJ33" s="47"/>
      <c r="AK33" s="47"/>
      <c r="AL33" s="48"/>
      <c r="AM33" s="46">
        <v>729.27</v>
      </c>
      <c r="AN33" s="47"/>
      <c r="AO33" s="47"/>
      <c r="AP33" s="47"/>
      <c r="AQ33" s="48"/>
      <c r="AR33" s="49">
        <v>784.24</v>
      </c>
      <c r="AS33" s="47"/>
      <c r="AT33" s="47"/>
      <c r="AU33" s="47"/>
      <c r="AV33" s="48"/>
      <c r="AW33" s="53"/>
      <c r="AX33" s="47"/>
      <c r="AY33" s="47"/>
      <c r="AZ33" s="47"/>
      <c r="BA33" s="48"/>
      <c r="BB33" s="59"/>
      <c r="BC33" s="47"/>
      <c r="BD33" s="47"/>
      <c r="BE33" s="47"/>
      <c r="BF33" s="48"/>
      <c r="BG33" s="59"/>
      <c r="BH33" s="47"/>
      <c r="BI33" s="47"/>
      <c r="BJ33" s="47"/>
      <c r="BK33" s="56"/>
    </row>
    <row r="34" ht="21.0" customHeight="1">
      <c r="A34" s="43"/>
      <c r="B34" s="44" t="s">
        <v>17</v>
      </c>
      <c r="C34" s="44" t="s">
        <v>79</v>
      </c>
      <c r="D34" s="45">
        <v>45195.0</v>
      </c>
      <c r="E34" s="45">
        <v>45196.0</v>
      </c>
      <c r="F34" s="44" t="s">
        <v>19</v>
      </c>
      <c r="G34" s="44" t="s">
        <v>26</v>
      </c>
      <c r="H34" s="44" t="s">
        <v>21</v>
      </c>
      <c r="I34" s="60"/>
      <c r="J34" s="47"/>
      <c r="K34" s="47"/>
      <c r="L34" s="47"/>
      <c r="M34" s="48"/>
      <c r="N34" s="61"/>
      <c r="O34" s="47"/>
      <c r="P34" s="47"/>
      <c r="Q34" s="47"/>
      <c r="R34" s="48"/>
      <c r="S34" s="50"/>
      <c r="T34" s="47"/>
      <c r="U34" s="47"/>
      <c r="V34" s="47"/>
      <c r="W34" s="48"/>
      <c r="X34" s="51"/>
      <c r="Y34" s="47"/>
      <c r="Z34" s="47"/>
      <c r="AA34" s="47"/>
      <c r="AB34" s="48"/>
      <c r="AC34" s="50"/>
      <c r="AD34" s="47"/>
      <c r="AE34" s="47"/>
      <c r="AF34" s="47"/>
      <c r="AG34" s="48"/>
      <c r="AH34" s="51"/>
      <c r="AI34" s="47"/>
      <c r="AJ34" s="47"/>
      <c r="AK34" s="47"/>
      <c r="AL34" s="48"/>
      <c r="AM34" s="46">
        <v>739.27</v>
      </c>
      <c r="AN34" s="47"/>
      <c r="AO34" s="47"/>
      <c r="AP34" s="47"/>
      <c r="AQ34" s="48"/>
      <c r="AR34" s="49">
        <v>761.12</v>
      </c>
      <c r="AS34" s="47"/>
      <c r="AT34" s="47"/>
      <c r="AU34" s="47"/>
      <c r="AV34" s="48"/>
      <c r="AW34" s="53"/>
      <c r="AX34" s="47"/>
      <c r="AY34" s="47"/>
      <c r="AZ34" s="47"/>
      <c r="BA34" s="48"/>
      <c r="BB34" s="59"/>
      <c r="BC34" s="47"/>
      <c r="BD34" s="47"/>
      <c r="BE34" s="47"/>
      <c r="BF34" s="48"/>
      <c r="BG34" s="59"/>
      <c r="BH34" s="47"/>
      <c r="BI34" s="47"/>
      <c r="BJ34" s="47"/>
      <c r="BK34" s="56"/>
    </row>
    <row r="35" ht="21.0" customHeight="1">
      <c r="A35" s="43"/>
      <c r="B35" s="44" t="s">
        <v>17</v>
      </c>
      <c r="C35" s="44" t="s">
        <v>81</v>
      </c>
      <c r="D35" s="45">
        <v>45180.0</v>
      </c>
      <c r="E35" s="45">
        <v>45184.0</v>
      </c>
      <c r="F35" s="44" t="s">
        <v>82</v>
      </c>
      <c r="G35" s="44" t="s">
        <v>26</v>
      </c>
      <c r="H35" s="44" t="s">
        <v>21</v>
      </c>
      <c r="I35" s="60"/>
      <c r="J35" s="47"/>
      <c r="K35" s="47"/>
      <c r="L35" s="47"/>
      <c r="M35" s="48"/>
      <c r="N35" s="61"/>
      <c r="O35" s="47"/>
      <c r="P35" s="47"/>
      <c r="Q35" s="47"/>
      <c r="R35" s="48"/>
      <c r="S35" s="50"/>
      <c r="T35" s="47"/>
      <c r="U35" s="47"/>
      <c r="V35" s="47"/>
      <c r="W35" s="48"/>
      <c r="X35" s="51"/>
      <c r="Y35" s="47"/>
      <c r="Z35" s="47"/>
      <c r="AA35" s="47"/>
      <c r="AB35" s="48"/>
      <c r="AC35" s="50"/>
      <c r="AD35" s="47"/>
      <c r="AE35" s="47"/>
      <c r="AF35" s="47"/>
      <c r="AG35" s="48"/>
      <c r="AH35" s="51"/>
      <c r="AI35" s="47"/>
      <c r="AJ35" s="47"/>
      <c r="AK35" s="47"/>
      <c r="AL35" s="48"/>
      <c r="AM35" s="46">
        <v>1402.4</v>
      </c>
      <c r="AN35" s="47"/>
      <c r="AO35" s="47"/>
      <c r="AP35" s="47"/>
      <c r="AQ35" s="48"/>
      <c r="AR35" s="49">
        <v>1596.68</v>
      </c>
      <c r="AS35" s="47"/>
      <c r="AT35" s="47"/>
      <c r="AU35" s="47"/>
      <c r="AV35" s="48"/>
      <c r="AW35" s="53"/>
      <c r="AX35" s="47"/>
      <c r="AY35" s="47"/>
      <c r="AZ35" s="47"/>
      <c r="BA35" s="48"/>
      <c r="BB35" s="59"/>
      <c r="BC35" s="47"/>
      <c r="BD35" s="47"/>
      <c r="BE35" s="47"/>
      <c r="BF35" s="48"/>
      <c r="BG35" s="59"/>
      <c r="BH35" s="47"/>
      <c r="BI35" s="47"/>
      <c r="BJ35" s="47"/>
      <c r="BK35" s="56"/>
    </row>
    <row r="36" ht="21.0" customHeight="1">
      <c r="A36" s="43"/>
      <c r="B36" s="44" t="s">
        <v>42</v>
      </c>
      <c r="C36" s="44" t="s">
        <v>81</v>
      </c>
      <c r="D36" s="45">
        <v>45180.0</v>
      </c>
      <c r="E36" s="45">
        <v>45184.0</v>
      </c>
      <c r="F36" s="44" t="s">
        <v>82</v>
      </c>
      <c r="G36" s="44" t="s">
        <v>26</v>
      </c>
      <c r="H36" s="44" t="s">
        <v>21</v>
      </c>
      <c r="I36" s="60"/>
      <c r="J36" s="47"/>
      <c r="K36" s="47"/>
      <c r="L36" s="47"/>
      <c r="M36" s="48"/>
      <c r="N36" s="61"/>
      <c r="O36" s="47"/>
      <c r="P36" s="47"/>
      <c r="Q36" s="47"/>
      <c r="R36" s="48"/>
      <c r="S36" s="50"/>
      <c r="T36" s="47"/>
      <c r="U36" s="47"/>
      <c r="V36" s="47"/>
      <c r="W36" s="48"/>
      <c r="X36" s="51"/>
      <c r="Y36" s="47"/>
      <c r="Z36" s="47"/>
      <c r="AA36" s="47"/>
      <c r="AB36" s="48"/>
      <c r="AC36" s="50"/>
      <c r="AD36" s="47"/>
      <c r="AE36" s="47"/>
      <c r="AF36" s="47"/>
      <c r="AG36" s="48"/>
      <c r="AH36" s="51"/>
      <c r="AI36" s="47"/>
      <c r="AJ36" s="47"/>
      <c r="AK36" s="47"/>
      <c r="AL36" s="48"/>
      <c r="AM36" s="46">
        <v>1721.29</v>
      </c>
      <c r="AN36" s="47"/>
      <c r="AO36" s="47"/>
      <c r="AP36" s="47"/>
      <c r="AQ36" s="48"/>
      <c r="AR36" s="49">
        <v>1838.03</v>
      </c>
      <c r="AS36" s="47"/>
      <c r="AT36" s="47"/>
      <c r="AU36" s="47"/>
      <c r="AV36" s="48"/>
      <c r="AW36" s="53"/>
      <c r="AX36" s="47"/>
      <c r="AY36" s="47"/>
      <c r="AZ36" s="47"/>
      <c r="BA36" s="48"/>
      <c r="BB36" s="59"/>
      <c r="BC36" s="47"/>
      <c r="BD36" s="47"/>
      <c r="BE36" s="47"/>
      <c r="BF36" s="48"/>
      <c r="BG36" s="59"/>
      <c r="BH36" s="47"/>
      <c r="BI36" s="47"/>
      <c r="BJ36" s="47"/>
      <c r="BK36" s="56"/>
    </row>
    <row r="37" ht="21.0" customHeight="1">
      <c r="A37" s="43"/>
      <c r="B37" s="44" t="s">
        <v>28</v>
      </c>
      <c r="C37" s="44" t="s">
        <v>87</v>
      </c>
      <c r="D37" s="45">
        <v>45187.0</v>
      </c>
      <c r="E37" s="45">
        <v>45191.0</v>
      </c>
      <c r="F37" s="44" t="s">
        <v>88</v>
      </c>
      <c r="G37" s="44" t="s">
        <v>26</v>
      </c>
      <c r="H37" s="44" t="s">
        <v>21</v>
      </c>
      <c r="I37" s="60"/>
      <c r="J37" s="47"/>
      <c r="K37" s="47"/>
      <c r="L37" s="47"/>
      <c r="M37" s="48"/>
      <c r="N37" s="61"/>
      <c r="O37" s="47"/>
      <c r="P37" s="47"/>
      <c r="Q37" s="47"/>
      <c r="R37" s="48"/>
      <c r="S37" s="50"/>
      <c r="T37" s="47"/>
      <c r="U37" s="47"/>
      <c r="V37" s="47"/>
      <c r="W37" s="48"/>
      <c r="X37" s="51"/>
      <c r="Y37" s="47"/>
      <c r="Z37" s="47"/>
      <c r="AA37" s="47"/>
      <c r="AB37" s="48"/>
      <c r="AC37" s="50"/>
      <c r="AD37" s="47"/>
      <c r="AE37" s="47"/>
      <c r="AF37" s="47"/>
      <c r="AG37" s="48"/>
      <c r="AH37" s="51"/>
      <c r="AI37" s="47"/>
      <c r="AJ37" s="47"/>
      <c r="AK37" s="47"/>
      <c r="AL37" s="48"/>
      <c r="AM37" s="46">
        <v>2607.47</v>
      </c>
      <c r="AN37" s="47"/>
      <c r="AO37" s="47"/>
      <c r="AP37" s="47"/>
      <c r="AQ37" s="48"/>
      <c r="AR37" s="49">
        <v>2657.72</v>
      </c>
      <c r="AS37" s="47"/>
      <c r="AT37" s="47"/>
      <c r="AU37" s="47"/>
      <c r="AV37" s="48"/>
      <c r="AW37" s="53"/>
      <c r="AX37" s="47"/>
      <c r="AY37" s="47"/>
      <c r="AZ37" s="47"/>
      <c r="BA37" s="48"/>
      <c r="BB37" s="59"/>
      <c r="BC37" s="47"/>
      <c r="BD37" s="47"/>
      <c r="BE37" s="47"/>
      <c r="BF37" s="48"/>
      <c r="BG37" s="59"/>
      <c r="BH37" s="47"/>
      <c r="BI37" s="47"/>
      <c r="BJ37" s="47"/>
      <c r="BK37" s="56"/>
    </row>
    <row r="38" ht="21.0" customHeight="1">
      <c r="A38" s="43"/>
      <c r="B38" s="44" t="s">
        <v>90</v>
      </c>
      <c r="C38" s="44" t="s">
        <v>81</v>
      </c>
      <c r="D38" s="45">
        <v>45180.0</v>
      </c>
      <c r="E38" s="45">
        <v>45182.0</v>
      </c>
      <c r="F38" s="44" t="s">
        <v>91</v>
      </c>
      <c r="G38" s="44" t="s">
        <v>92</v>
      </c>
      <c r="H38" s="44" t="s">
        <v>21</v>
      </c>
      <c r="I38" s="60"/>
      <c r="J38" s="47"/>
      <c r="K38" s="47"/>
      <c r="L38" s="47"/>
      <c r="M38" s="48"/>
      <c r="N38" s="61"/>
      <c r="O38" s="47"/>
      <c r="P38" s="47"/>
      <c r="Q38" s="47"/>
      <c r="R38" s="48"/>
      <c r="S38" s="50"/>
      <c r="T38" s="47"/>
      <c r="U38" s="47"/>
      <c r="V38" s="47"/>
      <c r="W38" s="48"/>
      <c r="X38" s="51"/>
      <c r="Y38" s="47"/>
      <c r="Z38" s="47"/>
      <c r="AA38" s="47"/>
      <c r="AB38" s="48"/>
      <c r="AC38" s="50"/>
      <c r="AD38" s="47"/>
      <c r="AE38" s="47"/>
      <c r="AF38" s="47"/>
      <c r="AG38" s="48"/>
      <c r="AH38" s="51"/>
      <c r="AI38" s="47"/>
      <c r="AJ38" s="47"/>
      <c r="AK38" s="47"/>
      <c r="AL38" s="48"/>
      <c r="AM38" s="46">
        <v>942.08</v>
      </c>
      <c r="AN38" s="47"/>
      <c r="AO38" s="47"/>
      <c r="AP38" s="47"/>
      <c r="AQ38" s="48"/>
      <c r="AR38" s="49">
        <v>1109.44</v>
      </c>
      <c r="AS38" s="47"/>
      <c r="AT38" s="47"/>
      <c r="AU38" s="47"/>
      <c r="AV38" s="48"/>
      <c r="AW38" s="53"/>
      <c r="AX38" s="47"/>
      <c r="AY38" s="47"/>
      <c r="AZ38" s="47"/>
      <c r="BA38" s="48"/>
      <c r="BB38" s="59"/>
      <c r="BC38" s="47"/>
      <c r="BD38" s="47"/>
      <c r="BE38" s="47"/>
      <c r="BF38" s="48"/>
      <c r="BG38" s="59"/>
      <c r="BH38" s="47"/>
      <c r="BI38" s="47"/>
      <c r="BJ38" s="47"/>
      <c r="BK38" s="56"/>
    </row>
    <row r="39" ht="21.0" customHeight="1">
      <c r="A39" s="43"/>
      <c r="B39" s="44" t="s">
        <v>17</v>
      </c>
      <c r="C39" s="44" t="s">
        <v>95</v>
      </c>
      <c r="D39" s="45">
        <v>45125.0</v>
      </c>
      <c r="E39" s="45">
        <v>45127.0</v>
      </c>
      <c r="F39" s="44" t="s">
        <v>30</v>
      </c>
      <c r="G39" s="44" t="s">
        <v>26</v>
      </c>
      <c r="H39" s="44" t="s">
        <v>60</v>
      </c>
      <c r="I39" s="60"/>
      <c r="J39" s="47"/>
      <c r="K39" s="47"/>
      <c r="L39" s="47"/>
      <c r="M39" s="48"/>
      <c r="N39" s="61"/>
      <c r="O39" s="47"/>
      <c r="P39" s="47"/>
      <c r="Q39" s="47"/>
      <c r="R39" s="48"/>
      <c r="S39" s="50"/>
      <c r="T39" s="47"/>
      <c r="U39" s="47"/>
      <c r="V39" s="47"/>
      <c r="W39" s="48"/>
      <c r="X39" s="51"/>
      <c r="Y39" s="47"/>
      <c r="Z39" s="47"/>
      <c r="AA39" s="47"/>
      <c r="AB39" s="48"/>
      <c r="AC39" s="50"/>
      <c r="AD39" s="47"/>
      <c r="AE39" s="47"/>
      <c r="AF39" s="47"/>
      <c r="AG39" s="48"/>
      <c r="AH39" s="51"/>
      <c r="AI39" s="47"/>
      <c r="AJ39" s="47"/>
      <c r="AK39" s="47"/>
      <c r="AL39" s="48"/>
      <c r="AM39" s="46" t="s">
        <v>56</v>
      </c>
      <c r="AN39" s="47"/>
      <c r="AO39" s="47"/>
      <c r="AP39" s="47"/>
      <c r="AQ39" s="48"/>
      <c r="AR39" s="49">
        <v>85.4</v>
      </c>
      <c r="AS39" s="47"/>
      <c r="AT39" s="47"/>
      <c r="AU39" s="47"/>
      <c r="AV39" s="48"/>
      <c r="AW39" s="53"/>
      <c r="AX39" s="47"/>
      <c r="AY39" s="47"/>
      <c r="AZ39" s="47"/>
      <c r="BA39" s="48"/>
      <c r="BB39" s="59"/>
      <c r="BC39" s="47"/>
      <c r="BD39" s="47"/>
      <c r="BE39" s="47"/>
      <c r="BF39" s="48"/>
      <c r="BG39" s="59"/>
      <c r="BH39" s="47"/>
      <c r="BI39" s="47"/>
      <c r="BJ39" s="47"/>
      <c r="BK39" s="56"/>
    </row>
    <row r="40" ht="21.0" customHeight="1">
      <c r="A40" s="43"/>
      <c r="B40" s="44" t="s">
        <v>90</v>
      </c>
      <c r="C40" s="44" t="s">
        <v>98</v>
      </c>
      <c r="D40" s="45">
        <v>45198.0</v>
      </c>
      <c r="E40" s="45">
        <v>45198.0</v>
      </c>
      <c r="F40" s="44" t="s">
        <v>19</v>
      </c>
      <c r="G40" s="44" t="s">
        <v>26</v>
      </c>
      <c r="H40" s="44" t="s">
        <v>60</v>
      </c>
      <c r="I40" s="60"/>
      <c r="J40" s="47"/>
      <c r="K40" s="47"/>
      <c r="L40" s="47"/>
      <c r="M40" s="48"/>
      <c r="N40" s="61"/>
      <c r="O40" s="47"/>
      <c r="P40" s="47"/>
      <c r="Q40" s="47"/>
      <c r="R40" s="48"/>
      <c r="S40" s="50"/>
      <c r="T40" s="47"/>
      <c r="U40" s="47"/>
      <c r="V40" s="47"/>
      <c r="W40" s="48"/>
      <c r="X40" s="51"/>
      <c r="Y40" s="47"/>
      <c r="Z40" s="47"/>
      <c r="AA40" s="47"/>
      <c r="AB40" s="48"/>
      <c r="AC40" s="50"/>
      <c r="AD40" s="47"/>
      <c r="AE40" s="47"/>
      <c r="AF40" s="47"/>
      <c r="AG40" s="48"/>
      <c r="AH40" s="51"/>
      <c r="AI40" s="47"/>
      <c r="AJ40" s="47"/>
      <c r="AK40" s="47"/>
      <c r="AL40" s="48"/>
      <c r="AM40" s="46" t="s">
        <v>56</v>
      </c>
      <c r="AN40" s="47"/>
      <c r="AO40" s="47"/>
      <c r="AP40" s="47"/>
      <c r="AQ40" s="48"/>
      <c r="AR40" s="49">
        <v>81.16</v>
      </c>
      <c r="AS40" s="47"/>
      <c r="AT40" s="47"/>
      <c r="AU40" s="47"/>
      <c r="AV40" s="48"/>
      <c r="AW40" s="53"/>
      <c r="AX40" s="47"/>
      <c r="AY40" s="47"/>
      <c r="AZ40" s="47"/>
      <c r="BA40" s="48"/>
      <c r="BB40" s="59"/>
      <c r="BC40" s="47"/>
      <c r="BD40" s="47"/>
      <c r="BE40" s="47"/>
      <c r="BF40" s="48"/>
      <c r="BG40" s="59"/>
      <c r="BH40" s="47"/>
      <c r="BI40" s="47"/>
      <c r="BJ40" s="47"/>
      <c r="BK40" s="56"/>
    </row>
    <row r="41" ht="21.0" customHeight="1">
      <c r="A41" s="43"/>
      <c r="B41" s="44"/>
      <c r="C41" s="44"/>
      <c r="D41" s="45"/>
      <c r="E41" s="45"/>
      <c r="F41" s="44"/>
      <c r="G41" s="44"/>
      <c r="H41" s="44"/>
      <c r="I41" s="60"/>
      <c r="J41" s="47"/>
      <c r="K41" s="47"/>
      <c r="L41" s="47"/>
      <c r="M41" s="48"/>
      <c r="N41" s="61"/>
      <c r="O41" s="47"/>
      <c r="P41" s="47"/>
      <c r="Q41" s="47"/>
      <c r="R41" s="48"/>
      <c r="S41" s="50"/>
      <c r="T41" s="47"/>
      <c r="U41" s="47"/>
      <c r="V41" s="47"/>
      <c r="W41" s="48"/>
      <c r="X41" s="51"/>
      <c r="Y41" s="47"/>
      <c r="Z41" s="47"/>
      <c r="AA41" s="47"/>
      <c r="AB41" s="48"/>
      <c r="AC41" s="50"/>
      <c r="AD41" s="47"/>
      <c r="AE41" s="47"/>
      <c r="AF41" s="47"/>
      <c r="AG41" s="48"/>
      <c r="AH41" s="51"/>
      <c r="AI41" s="47"/>
      <c r="AJ41" s="47"/>
      <c r="AK41" s="47"/>
      <c r="AL41" s="48"/>
      <c r="AM41" s="46"/>
      <c r="AN41" s="47"/>
      <c r="AO41" s="47"/>
      <c r="AP41" s="47"/>
      <c r="AQ41" s="48"/>
      <c r="AR41" s="49"/>
      <c r="AS41" s="47"/>
      <c r="AT41" s="47"/>
      <c r="AU41" s="47"/>
      <c r="AV41" s="48"/>
      <c r="AW41" s="53"/>
      <c r="AX41" s="47"/>
      <c r="AY41" s="47"/>
      <c r="AZ41" s="47"/>
      <c r="BA41" s="48"/>
      <c r="BB41" s="59"/>
      <c r="BC41" s="47"/>
      <c r="BD41" s="47"/>
      <c r="BE41" s="47"/>
      <c r="BF41" s="48"/>
      <c r="BG41" s="59"/>
      <c r="BH41" s="47"/>
      <c r="BI41" s="47"/>
      <c r="BJ41" s="47"/>
      <c r="BK41" s="56"/>
    </row>
    <row r="42" ht="21.0" customHeight="1">
      <c r="A42" s="43"/>
      <c r="B42" s="44"/>
      <c r="C42" s="44"/>
      <c r="D42" s="45"/>
      <c r="E42" s="45"/>
      <c r="F42" s="44"/>
      <c r="G42" s="44"/>
      <c r="H42" s="44"/>
      <c r="I42" s="60"/>
      <c r="J42" s="47"/>
      <c r="K42" s="47"/>
      <c r="L42" s="47"/>
      <c r="M42" s="48"/>
      <c r="N42" s="61"/>
      <c r="O42" s="47"/>
      <c r="P42" s="47"/>
      <c r="Q42" s="47"/>
      <c r="R42" s="48"/>
      <c r="S42" s="50"/>
      <c r="T42" s="47"/>
      <c r="U42" s="47"/>
      <c r="V42" s="47"/>
      <c r="W42" s="48"/>
      <c r="X42" s="51"/>
      <c r="Y42" s="47"/>
      <c r="Z42" s="47"/>
      <c r="AA42" s="47"/>
      <c r="AB42" s="48"/>
      <c r="AC42" s="50"/>
      <c r="AD42" s="47"/>
      <c r="AE42" s="47"/>
      <c r="AF42" s="47"/>
      <c r="AG42" s="48"/>
      <c r="AH42" s="51"/>
      <c r="AI42" s="47"/>
      <c r="AJ42" s="47"/>
      <c r="AK42" s="47"/>
      <c r="AL42" s="48"/>
      <c r="AM42" s="46"/>
      <c r="AN42" s="47"/>
      <c r="AO42" s="47"/>
      <c r="AP42" s="47"/>
      <c r="AQ42" s="48"/>
      <c r="AR42" s="49"/>
      <c r="AS42" s="47"/>
      <c r="AT42" s="47"/>
      <c r="AU42" s="47"/>
      <c r="AV42" s="48"/>
      <c r="AW42" s="53"/>
      <c r="AX42" s="47"/>
      <c r="AY42" s="47"/>
      <c r="AZ42" s="47"/>
      <c r="BA42" s="48"/>
      <c r="BB42" s="59"/>
      <c r="BC42" s="47"/>
      <c r="BD42" s="47"/>
      <c r="BE42" s="47"/>
      <c r="BF42" s="48"/>
      <c r="BG42" s="59"/>
      <c r="BH42" s="47"/>
      <c r="BI42" s="47"/>
      <c r="BJ42" s="47"/>
      <c r="BK42" s="56"/>
    </row>
    <row r="43" ht="21.0" customHeight="1">
      <c r="A43" s="17"/>
      <c r="B43" s="92" t="s">
        <v>107</v>
      </c>
      <c r="C43" s="92" t="s">
        <v>108</v>
      </c>
      <c r="D43" s="92" t="s">
        <v>109</v>
      </c>
      <c r="E43" s="93"/>
      <c r="F43" s="92"/>
      <c r="G43" s="92"/>
      <c r="H43" s="94" t="s">
        <v>111</v>
      </c>
      <c r="I43" s="95"/>
      <c r="J43" s="36"/>
      <c r="K43" s="36"/>
      <c r="L43" s="36"/>
      <c r="M43" s="36"/>
      <c r="N43" s="96"/>
      <c r="O43" s="36"/>
      <c r="P43" s="36"/>
      <c r="Q43" s="36"/>
      <c r="R43" s="36"/>
      <c r="S43" s="95"/>
      <c r="T43" s="36"/>
      <c r="U43" s="36"/>
      <c r="V43" s="36"/>
      <c r="W43" s="36"/>
      <c r="X43" s="96"/>
      <c r="Y43" s="36"/>
      <c r="Z43" s="36"/>
      <c r="AA43" s="36"/>
      <c r="AB43" s="36"/>
      <c r="AC43" s="96"/>
      <c r="AD43" s="36"/>
      <c r="AE43" s="36"/>
      <c r="AF43" s="36"/>
      <c r="AG43" s="36"/>
      <c r="AH43" s="96"/>
      <c r="AI43" s="36"/>
      <c r="AJ43" s="36"/>
      <c r="AK43" s="36"/>
      <c r="AL43" s="36"/>
      <c r="AM43" s="96"/>
      <c r="AN43" s="36"/>
      <c r="AO43" s="36"/>
      <c r="AP43" s="36"/>
      <c r="AQ43" s="36"/>
      <c r="AR43" s="96"/>
      <c r="AS43" s="36"/>
      <c r="AT43" s="36"/>
      <c r="AU43" s="36"/>
      <c r="AV43" s="36"/>
      <c r="AW43" s="97"/>
      <c r="AX43" s="36"/>
      <c r="AY43" s="36"/>
      <c r="AZ43" s="36"/>
      <c r="BA43" s="36"/>
      <c r="BB43" s="96"/>
      <c r="BC43" s="36"/>
      <c r="BD43" s="36"/>
      <c r="BE43" s="36"/>
      <c r="BF43" s="36"/>
      <c r="BG43" s="96"/>
      <c r="BH43" s="36"/>
      <c r="BI43" s="36"/>
      <c r="BJ43" s="36"/>
      <c r="BK43" s="42"/>
    </row>
    <row r="44" ht="21.0" customHeight="1">
      <c r="A44" s="17"/>
      <c r="B44" s="44" t="s">
        <v>113</v>
      </c>
      <c r="C44" s="44" t="s">
        <v>114</v>
      </c>
      <c r="D44" s="98">
        <v>44916.0</v>
      </c>
      <c r="E44" s="48"/>
      <c r="F44" s="44" t="s">
        <v>115</v>
      </c>
      <c r="G44" s="44" t="s">
        <v>115</v>
      </c>
      <c r="H44" s="44" t="s">
        <v>116</v>
      </c>
      <c r="I44" s="99" t="s">
        <v>56</v>
      </c>
      <c r="J44" s="47"/>
      <c r="K44" s="47"/>
      <c r="L44" s="47"/>
      <c r="M44" s="48"/>
      <c r="N44" s="49">
        <v>156.8</v>
      </c>
      <c r="O44" s="47"/>
      <c r="P44" s="47"/>
      <c r="Q44" s="47"/>
      <c r="R44" s="48"/>
      <c r="S44" s="60"/>
      <c r="T44" s="47"/>
      <c r="U44" s="47"/>
      <c r="V44" s="47"/>
      <c r="W44" s="48"/>
      <c r="X44" s="52"/>
      <c r="Y44" s="47"/>
      <c r="Z44" s="47"/>
      <c r="AA44" s="47"/>
      <c r="AB44" s="48"/>
      <c r="AC44" s="60"/>
      <c r="AD44" s="47"/>
      <c r="AE44" s="47"/>
      <c r="AF44" s="47"/>
      <c r="AG44" s="48"/>
      <c r="AH44" s="100"/>
      <c r="AI44" s="47"/>
      <c r="AJ44" s="47"/>
      <c r="AK44" s="47"/>
      <c r="AL44" s="48"/>
      <c r="AM44" s="60"/>
      <c r="AN44" s="47"/>
      <c r="AO44" s="47"/>
      <c r="AP44" s="47"/>
      <c r="AQ44" s="48"/>
      <c r="AR44" s="101"/>
      <c r="AS44" s="47"/>
      <c r="AT44" s="47"/>
      <c r="AU44" s="47"/>
      <c r="AV44" s="48"/>
      <c r="AW44" s="53" t="s">
        <v>117</v>
      </c>
      <c r="AX44" s="47"/>
      <c r="AY44" s="47"/>
      <c r="AZ44" s="47"/>
      <c r="BA44" s="48"/>
      <c r="BB44" s="54">
        <f>SUM(N44:R55)</f>
        <v>156.8</v>
      </c>
      <c r="BC44" s="47"/>
      <c r="BD44" s="47"/>
      <c r="BE44" s="47"/>
      <c r="BF44" s="48"/>
      <c r="BG44" s="55" t="s">
        <v>22</v>
      </c>
      <c r="BH44" s="47"/>
      <c r="BI44" s="47"/>
      <c r="BJ44" s="47"/>
      <c r="BK44" s="56"/>
    </row>
    <row r="45" ht="21.0" customHeight="1">
      <c r="A45" s="17"/>
      <c r="B45" s="44"/>
      <c r="C45" s="44"/>
      <c r="D45" s="103"/>
      <c r="E45" s="48"/>
      <c r="F45" s="44"/>
      <c r="G45" s="44"/>
      <c r="H45" s="44"/>
      <c r="I45" s="100"/>
      <c r="J45" s="47"/>
      <c r="K45" s="47"/>
      <c r="L45" s="47"/>
      <c r="M45" s="48"/>
      <c r="N45" s="100"/>
      <c r="O45" s="47"/>
      <c r="P45" s="47"/>
      <c r="Q45" s="47"/>
      <c r="R45" s="48"/>
      <c r="S45" s="60"/>
      <c r="T45" s="47"/>
      <c r="U45" s="47"/>
      <c r="V45" s="47"/>
      <c r="W45" s="48"/>
      <c r="X45" s="51"/>
      <c r="Y45" s="47"/>
      <c r="Z45" s="47"/>
      <c r="AA45" s="47"/>
      <c r="AB45" s="48"/>
      <c r="AC45" s="60"/>
      <c r="AD45" s="47"/>
      <c r="AE45" s="47"/>
      <c r="AF45" s="47"/>
      <c r="AG45" s="48"/>
      <c r="AH45" s="51"/>
      <c r="AI45" s="47"/>
      <c r="AJ45" s="47"/>
      <c r="AK45" s="47"/>
      <c r="AL45" s="48"/>
      <c r="AM45" s="104"/>
      <c r="AN45" s="47"/>
      <c r="AO45" s="47"/>
      <c r="AP45" s="47"/>
      <c r="AQ45" s="48"/>
      <c r="AR45" s="49"/>
      <c r="AS45" s="47"/>
      <c r="AT45" s="47"/>
      <c r="AU45" s="47"/>
      <c r="AV45" s="48"/>
      <c r="AW45" s="53"/>
      <c r="AX45" s="47"/>
      <c r="AY45" s="47"/>
      <c r="AZ45" s="47"/>
      <c r="BA45" s="48"/>
      <c r="BB45" s="54">
        <f>SUM(X44:AB49)</f>
        <v>0</v>
      </c>
      <c r="BC45" s="47"/>
      <c r="BD45" s="47"/>
      <c r="BE45" s="47"/>
      <c r="BF45" s="48"/>
      <c r="BG45" s="55" t="s">
        <v>3</v>
      </c>
      <c r="BH45" s="47"/>
      <c r="BI45" s="47"/>
      <c r="BJ45" s="47"/>
      <c r="BK45" s="56"/>
    </row>
    <row r="46" ht="21.0" customHeight="1">
      <c r="A46" s="17"/>
      <c r="B46" s="44"/>
      <c r="C46" s="44"/>
      <c r="D46" s="98"/>
      <c r="E46" s="48"/>
      <c r="F46" s="44"/>
      <c r="G46" s="44"/>
      <c r="H46" s="44"/>
      <c r="I46" s="100"/>
      <c r="J46" s="47"/>
      <c r="K46" s="47"/>
      <c r="L46" s="47"/>
      <c r="M46" s="48"/>
      <c r="N46" s="100"/>
      <c r="O46" s="47"/>
      <c r="P46" s="47"/>
      <c r="Q46" s="47"/>
      <c r="R46" s="48"/>
      <c r="S46" s="60"/>
      <c r="T46" s="47"/>
      <c r="U46" s="47"/>
      <c r="V46" s="47"/>
      <c r="W46" s="48"/>
      <c r="X46" s="52"/>
      <c r="Y46" s="47"/>
      <c r="Z46" s="47"/>
      <c r="AA46" s="47"/>
      <c r="AB46" s="48"/>
      <c r="AC46" s="60"/>
      <c r="AD46" s="47"/>
      <c r="AE46" s="47"/>
      <c r="AF46" s="47"/>
      <c r="AG46" s="48"/>
      <c r="AH46" s="100"/>
      <c r="AI46" s="47"/>
      <c r="AJ46" s="47"/>
      <c r="AK46" s="47"/>
      <c r="AL46" s="48"/>
      <c r="AM46" s="60"/>
      <c r="AN46" s="47"/>
      <c r="AO46" s="47"/>
      <c r="AP46" s="47"/>
      <c r="AQ46" s="48"/>
      <c r="AR46" s="51"/>
      <c r="AS46" s="47"/>
      <c r="AT46" s="47"/>
      <c r="AU46" s="47"/>
      <c r="AV46" s="48"/>
      <c r="AW46" s="53"/>
      <c r="AX46" s="47"/>
      <c r="AY46" s="47"/>
      <c r="AZ46" s="47"/>
      <c r="BA46" s="48"/>
      <c r="BB46" s="54">
        <f>SUM(AH44:AL56)</f>
        <v>0</v>
      </c>
      <c r="BC46" s="47"/>
      <c r="BD46" s="47"/>
      <c r="BE46" s="47"/>
      <c r="BF46" s="48"/>
      <c r="BG46" s="55" t="s">
        <v>4</v>
      </c>
      <c r="BH46" s="47"/>
      <c r="BI46" s="47"/>
      <c r="BJ46" s="47"/>
      <c r="BK46" s="56"/>
    </row>
    <row r="47" ht="21.0" customHeight="1">
      <c r="A47" s="17"/>
      <c r="B47" s="44"/>
      <c r="C47" s="44"/>
      <c r="D47" s="98"/>
      <c r="E47" s="48"/>
      <c r="F47" s="44"/>
      <c r="G47" s="44"/>
      <c r="H47" s="44"/>
      <c r="I47" s="100"/>
      <c r="J47" s="47"/>
      <c r="K47" s="47"/>
      <c r="L47" s="47"/>
      <c r="M47" s="48"/>
      <c r="N47" s="100"/>
      <c r="O47" s="47"/>
      <c r="P47" s="47"/>
      <c r="Q47" s="47"/>
      <c r="R47" s="48"/>
      <c r="S47" s="60"/>
      <c r="T47" s="47"/>
      <c r="U47" s="47"/>
      <c r="V47" s="47"/>
      <c r="W47" s="48"/>
      <c r="X47" s="52"/>
      <c r="Y47" s="47"/>
      <c r="Z47" s="47"/>
      <c r="AA47" s="47"/>
      <c r="AB47" s="48"/>
      <c r="AC47" s="60"/>
      <c r="AD47" s="47"/>
      <c r="AE47" s="47"/>
      <c r="AF47" s="47"/>
      <c r="AG47" s="48"/>
      <c r="AH47" s="100"/>
      <c r="AI47" s="47"/>
      <c r="AJ47" s="47"/>
      <c r="AK47" s="47"/>
      <c r="AL47" s="48"/>
      <c r="AM47" s="60"/>
      <c r="AN47" s="47"/>
      <c r="AO47" s="47"/>
      <c r="AP47" s="47"/>
      <c r="AQ47" s="48"/>
      <c r="AR47" s="100"/>
      <c r="AS47" s="47"/>
      <c r="AT47" s="47"/>
      <c r="AU47" s="47"/>
      <c r="AV47" s="48"/>
      <c r="AW47" s="53"/>
      <c r="AX47" s="47"/>
      <c r="AY47" s="47"/>
      <c r="AZ47" s="47"/>
      <c r="BA47" s="48"/>
      <c r="BB47" s="54">
        <f>SUM(AR44:AV56)</f>
        <v>0</v>
      </c>
      <c r="BC47" s="47"/>
      <c r="BD47" s="47"/>
      <c r="BE47" s="47"/>
      <c r="BF47" s="48"/>
      <c r="BG47" s="55" t="s">
        <v>5</v>
      </c>
      <c r="BH47" s="47"/>
      <c r="BI47" s="47"/>
      <c r="BJ47" s="47"/>
      <c r="BK47" s="56"/>
    </row>
    <row r="48" ht="21.0" customHeight="1">
      <c r="A48" s="17"/>
      <c r="B48" s="44"/>
      <c r="C48" s="44"/>
      <c r="D48" s="98"/>
      <c r="E48" s="48"/>
      <c r="F48" s="44"/>
      <c r="G48" s="44"/>
      <c r="H48" s="44"/>
      <c r="I48" s="100"/>
      <c r="J48" s="47"/>
      <c r="K48" s="47"/>
      <c r="L48" s="47"/>
      <c r="M48" s="48"/>
      <c r="N48" s="100"/>
      <c r="O48" s="47"/>
      <c r="P48" s="47"/>
      <c r="Q48" s="47"/>
      <c r="R48" s="48"/>
      <c r="S48" s="60"/>
      <c r="T48" s="47"/>
      <c r="U48" s="47"/>
      <c r="V48" s="47"/>
      <c r="W48" s="48"/>
      <c r="X48" s="52"/>
      <c r="Y48" s="47"/>
      <c r="Z48" s="47"/>
      <c r="AA48" s="47"/>
      <c r="AB48" s="48"/>
      <c r="AC48" s="60"/>
      <c r="AD48" s="47"/>
      <c r="AE48" s="47"/>
      <c r="AF48" s="47"/>
      <c r="AG48" s="48"/>
      <c r="AH48" s="100"/>
      <c r="AI48" s="47"/>
      <c r="AJ48" s="47"/>
      <c r="AK48" s="47"/>
      <c r="AL48" s="48"/>
      <c r="AM48" s="60"/>
      <c r="AN48" s="47"/>
      <c r="AO48" s="47"/>
      <c r="AP48" s="47"/>
      <c r="AQ48" s="48"/>
      <c r="AR48" s="100"/>
      <c r="AS48" s="47"/>
      <c r="AT48" s="47"/>
      <c r="AU48" s="47"/>
      <c r="AV48" s="48"/>
      <c r="AW48" s="107"/>
      <c r="AX48" s="47"/>
      <c r="AY48" s="47"/>
      <c r="AZ48" s="47"/>
      <c r="BA48" s="48"/>
      <c r="BB48" s="108"/>
      <c r="BC48" s="47"/>
      <c r="BD48" s="47"/>
      <c r="BE48" s="47"/>
      <c r="BF48" s="48"/>
      <c r="BG48" s="108"/>
      <c r="BH48" s="47"/>
      <c r="BI48" s="47"/>
      <c r="BJ48" s="47"/>
      <c r="BK48" s="56"/>
    </row>
    <row r="49" ht="21.0" customHeight="1">
      <c r="A49" s="17"/>
      <c r="B49" s="44"/>
      <c r="C49" s="44"/>
      <c r="D49" s="98"/>
      <c r="E49" s="48"/>
      <c r="F49" s="44"/>
      <c r="G49" s="44"/>
      <c r="H49" s="44"/>
      <c r="I49" s="100"/>
      <c r="J49" s="47"/>
      <c r="K49" s="47"/>
      <c r="L49" s="47"/>
      <c r="M49" s="48"/>
      <c r="N49" s="100"/>
      <c r="O49" s="47"/>
      <c r="P49" s="47"/>
      <c r="Q49" s="47"/>
      <c r="R49" s="48"/>
      <c r="S49" s="60"/>
      <c r="T49" s="47"/>
      <c r="U49" s="47"/>
      <c r="V49" s="47"/>
      <c r="W49" s="48"/>
      <c r="X49" s="52"/>
      <c r="Y49" s="47"/>
      <c r="Z49" s="47"/>
      <c r="AA49" s="47"/>
      <c r="AB49" s="48"/>
      <c r="AC49" s="60"/>
      <c r="AD49" s="47"/>
      <c r="AE49" s="47"/>
      <c r="AF49" s="47"/>
      <c r="AG49" s="48"/>
      <c r="AH49" s="100"/>
      <c r="AI49" s="47"/>
      <c r="AJ49" s="47"/>
      <c r="AK49" s="47"/>
      <c r="AL49" s="48"/>
      <c r="AM49" s="60"/>
      <c r="AN49" s="47"/>
      <c r="AO49" s="47"/>
      <c r="AP49" s="47"/>
      <c r="AQ49" s="48"/>
      <c r="AR49" s="100"/>
      <c r="AS49" s="47"/>
      <c r="AT49" s="47"/>
      <c r="AU49" s="47"/>
      <c r="AV49" s="48"/>
      <c r="AW49" s="109"/>
      <c r="AX49" s="110"/>
      <c r="AY49" s="110"/>
      <c r="AZ49" s="110"/>
      <c r="BA49" s="111"/>
      <c r="BB49" s="112"/>
      <c r="BC49" s="110"/>
      <c r="BD49" s="110"/>
      <c r="BE49" s="110"/>
      <c r="BF49" s="111"/>
      <c r="BG49" s="112"/>
      <c r="BH49" s="110"/>
      <c r="BI49" s="110"/>
      <c r="BJ49" s="110"/>
      <c r="BK49" s="113"/>
    </row>
    <row r="50" ht="21.0" customHeight="1">
      <c r="A50" s="17"/>
      <c r="B50" s="44"/>
      <c r="C50" s="44"/>
      <c r="D50" s="98"/>
      <c r="E50" s="48"/>
      <c r="F50" s="44"/>
      <c r="G50" s="44"/>
      <c r="H50" s="44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</row>
    <row r="51" ht="21.0" customHeight="1">
      <c r="A51" s="17"/>
      <c r="B51" s="17"/>
      <c r="C51" s="17"/>
      <c r="D51" s="17"/>
      <c r="E51" s="17"/>
      <c r="F51" s="17"/>
      <c r="G51" s="17"/>
      <c r="H51" s="114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</row>
    <row r="52" ht="21.0" customHeight="1">
      <c r="A52" s="17"/>
      <c r="B52" s="17"/>
      <c r="C52" s="17"/>
      <c r="D52" s="17"/>
      <c r="E52" s="17"/>
      <c r="F52" s="17"/>
      <c r="G52" s="17"/>
      <c r="H52" s="114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</row>
    <row r="53" ht="21.0" customHeight="1">
      <c r="A53" s="17"/>
      <c r="B53" s="17"/>
      <c r="C53" s="17"/>
      <c r="D53" s="17"/>
      <c r="E53" s="17"/>
      <c r="F53" s="17"/>
      <c r="G53" s="17"/>
      <c r="H53" s="114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</row>
  </sheetData>
  <mergeCells count="512">
    <mergeCell ref="AM4:AV4"/>
    <mergeCell ref="AW4:BK4"/>
    <mergeCell ref="AC5:AG5"/>
    <mergeCell ref="AH5:AL5"/>
    <mergeCell ref="AM5:AQ5"/>
    <mergeCell ref="AR5:AV5"/>
    <mergeCell ref="AW5:BA5"/>
    <mergeCell ref="BB5:BF5"/>
    <mergeCell ref="BG5:BK5"/>
    <mergeCell ref="I2:N2"/>
    <mergeCell ref="O2:W2"/>
    <mergeCell ref="B4:C5"/>
    <mergeCell ref="E4:H5"/>
    <mergeCell ref="I4:R4"/>
    <mergeCell ref="S4:AB4"/>
    <mergeCell ref="AC4:AL4"/>
    <mergeCell ref="AR6:AV6"/>
    <mergeCell ref="AW6:BA6"/>
    <mergeCell ref="BB6:BF6"/>
    <mergeCell ref="BG6:BK6"/>
    <mergeCell ref="S5:W5"/>
    <mergeCell ref="X5:AB5"/>
    <mergeCell ref="S6:W6"/>
    <mergeCell ref="X6:AB6"/>
    <mergeCell ref="AC6:AG6"/>
    <mergeCell ref="AH6:AL6"/>
    <mergeCell ref="AM6:AQ6"/>
    <mergeCell ref="BB7:BF7"/>
    <mergeCell ref="BG7:BK7"/>
    <mergeCell ref="S7:W7"/>
    <mergeCell ref="X7:AB7"/>
    <mergeCell ref="AC7:AG7"/>
    <mergeCell ref="AH7:AL7"/>
    <mergeCell ref="AM7:AQ7"/>
    <mergeCell ref="AR7:AV7"/>
    <mergeCell ref="AW7:BA7"/>
    <mergeCell ref="AR8:AV8"/>
    <mergeCell ref="AW8:BA8"/>
    <mergeCell ref="BB8:BF8"/>
    <mergeCell ref="BG8:BK8"/>
    <mergeCell ref="I8:M8"/>
    <mergeCell ref="N8:R8"/>
    <mergeCell ref="S8:W8"/>
    <mergeCell ref="X8:AB8"/>
    <mergeCell ref="AC8:AG8"/>
    <mergeCell ref="AH8:AL8"/>
    <mergeCell ref="AM8:AQ8"/>
    <mergeCell ref="I5:M5"/>
    <mergeCell ref="N5:R5"/>
    <mergeCell ref="D6:E6"/>
    <mergeCell ref="I6:M6"/>
    <mergeCell ref="N6:R6"/>
    <mergeCell ref="I7:M7"/>
    <mergeCell ref="N7:R7"/>
    <mergeCell ref="AR9:AV9"/>
    <mergeCell ref="AW9:BA9"/>
    <mergeCell ref="BB9:BF9"/>
    <mergeCell ref="BG9:BK9"/>
    <mergeCell ref="I9:M9"/>
    <mergeCell ref="N9:R9"/>
    <mergeCell ref="S9:W9"/>
    <mergeCell ref="X9:AB9"/>
    <mergeCell ref="AC9:AG9"/>
    <mergeCell ref="AH9:AL9"/>
    <mergeCell ref="AM9:AQ9"/>
    <mergeCell ref="AR10:AV10"/>
    <mergeCell ref="AW10:BA10"/>
    <mergeCell ref="BB10:BF10"/>
    <mergeCell ref="BG10:BK10"/>
    <mergeCell ref="I10:M10"/>
    <mergeCell ref="N10:R10"/>
    <mergeCell ref="S10:W10"/>
    <mergeCell ref="X10:AB10"/>
    <mergeCell ref="AC10:AG10"/>
    <mergeCell ref="AH10:AL10"/>
    <mergeCell ref="AM10:AQ10"/>
    <mergeCell ref="AR14:AV14"/>
    <mergeCell ref="AW14:BA14"/>
    <mergeCell ref="BB14:BF14"/>
    <mergeCell ref="BG14:BK14"/>
    <mergeCell ref="I14:M14"/>
    <mergeCell ref="N14:R14"/>
    <mergeCell ref="S14:W14"/>
    <mergeCell ref="X14:AB14"/>
    <mergeCell ref="AC14:AG14"/>
    <mergeCell ref="AH14:AL14"/>
    <mergeCell ref="AM14:AQ14"/>
    <mergeCell ref="AR15:AV15"/>
    <mergeCell ref="AW15:BA15"/>
    <mergeCell ref="BB15:BF15"/>
    <mergeCell ref="BG15:BK15"/>
    <mergeCell ref="I15:M15"/>
    <mergeCell ref="N15:R15"/>
    <mergeCell ref="S15:W15"/>
    <mergeCell ref="X15:AB15"/>
    <mergeCell ref="AC15:AG15"/>
    <mergeCell ref="AH15:AL15"/>
    <mergeCell ref="AM15:AQ15"/>
    <mergeCell ref="AR16:AV16"/>
    <mergeCell ref="AW16:BA16"/>
    <mergeCell ref="BB16:BF16"/>
    <mergeCell ref="BG16:BK16"/>
    <mergeCell ref="I16:M16"/>
    <mergeCell ref="N16:R16"/>
    <mergeCell ref="S16:W16"/>
    <mergeCell ref="X16:AB16"/>
    <mergeCell ref="AC16:AG16"/>
    <mergeCell ref="AH16:AL16"/>
    <mergeCell ref="AM16:AQ16"/>
    <mergeCell ref="AR17:AV17"/>
    <mergeCell ref="AW17:BA17"/>
    <mergeCell ref="BB17:BF17"/>
    <mergeCell ref="BG17:BK17"/>
    <mergeCell ref="I17:M17"/>
    <mergeCell ref="N17:R17"/>
    <mergeCell ref="S17:W17"/>
    <mergeCell ref="X17:AB17"/>
    <mergeCell ref="AC17:AG17"/>
    <mergeCell ref="AH17:AL17"/>
    <mergeCell ref="AM17:AQ17"/>
    <mergeCell ref="AR18:AV18"/>
    <mergeCell ref="AW18:BA18"/>
    <mergeCell ref="BB18:BF18"/>
    <mergeCell ref="BG18:BK18"/>
    <mergeCell ref="I18:M18"/>
    <mergeCell ref="N18:R18"/>
    <mergeCell ref="S18:W18"/>
    <mergeCell ref="X18:AB18"/>
    <mergeCell ref="AC18:AG18"/>
    <mergeCell ref="AH18:AL18"/>
    <mergeCell ref="AM18:AQ18"/>
    <mergeCell ref="AR19:AV19"/>
    <mergeCell ref="AW19:BA19"/>
    <mergeCell ref="BB19:BF19"/>
    <mergeCell ref="BG19:BK19"/>
    <mergeCell ref="I19:M19"/>
    <mergeCell ref="N19:R19"/>
    <mergeCell ref="S19:W19"/>
    <mergeCell ref="X19:AB19"/>
    <mergeCell ref="AC19:AG19"/>
    <mergeCell ref="AH19:AL19"/>
    <mergeCell ref="AM19:AQ19"/>
    <mergeCell ref="AR20:AV20"/>
    <mergeCell ref="AW20:BA20"/>
    <mergeCell ref="BB20:BF20"/>
    <mergeCell ref="BG20:BK20"/>
    <mergeCell ref="I20:M20"/>
    <mergeCell ref="N20:R20"/>
    <mergeCell ref="S20:W20"/>
    <mergeCell ref="X20:AB20"/>
    <mergeCell ref="AC20:AG20"/>
    <mergeCell ref="AH20:AL20"/>
    <mergeCell ref="AM20:AQ20"/>
    <mergeCell ref="AR21:AV21"/>
    <mergeCell ref="AW21:BA21"/>
    <mergeCell ref="BB21:BF21"/>
    <mergeCell ref="BG21:BK21"/>
    <mergeCell ref="I21:M21"/>
    <mergeCell ref="N21:R21"/>
    <mergeCell ref="S21:W21"/>
    <mergeCell ref="X21:AB21"/>
    <mergeCell ref="AC21:AG21"/>
    <mergeCell ref="AH21:AL21"/>
    <mergeCell ref="AM21:AQ21"/>
    <mergeCell ref="AR22:AV22"/>
    <mergeCell ref="AW22:BA22"/>
    <mergeCell ref="BB22:BF22"/>
    <mergeCell ref="BG22:BK22"/>
    <mergeCell ref="I22:M22"/>
    <mergeCell ref="N22:R22"/>
    <mergeCell ref="S22:W22"/>
    <mergeCell ref="X22:AB22"/>
    <mergeCell ref="AC22:AG22"/>
    <mergeCell ref="AH22:AL22"/>
    <mergeCell ref="AM22:AQ22"/>
    <mergeCell ref="AR23:AV23"/>
    <mergeCell ref="AW23:BA23"/>
    <mergeCell ref="BB23:BF23"/>
    <mergeCell ref="BG23:BK23"/>
    <mergeCell ref="I23:M23"/>
    <mergeCell ref="N23:R23"/>
    <mergeCell ref="S23:W23"/>
    <mergeCell ref="X23:AB23"/>
    <mergeCell ref="AC23:AG23"/>
    <mergeCell ref="AH23:AL23"/>
    <mergeCell ref="AM23:AQ23"/>
    <mergeCell ref="AR24:AV24"/>
    <mergeCell ref="AW24:BA24"/>
    <mergeCell ref="BB24:BF24"/>
    <mergeCell ref="BG24:BK24"/>
    <mergeCell ref="I24:M24"/>
    <mergeCell ref="N24:R24"/>
    <mergeCell ref="S24:W24"/>
    <mergeCell ref="X24:AB24"/>
    <mergeCell ref="AC24:AG24"/>
    <mergeCell ref="AH24:AL24"/>
    <mergeCell ref="AM24:AQ24"/>
    <mergeCell ref="AR25:AV25"/>
    <mergeCell ref="AW25:BA25"/>
    <mergeCell ref="BB25:BF25"/>
    <mergeCell ref="BG25:BK25"/>
    <mergeCell ref="I25:M25"/>
    <mergeCell ref="N25:R25"/>
    <mergeCell ref="S25:W25"/>
    <mergeCell ref="X25:AB25"/>
    <mergeCell ref="AC25:AG25"/>
    <mergeCell ref="AH25:AL25"/>
    <mergeCell ref="AM25:AQ25"/>
    <mergeCell ref="AR26:AV26"/>
    <mergeCell ref="AW26:BA26"/>
    <mergeCell ref="BB26:BF26"/>
    <mergeCell ref="BG26:BK26"/>
    <mergeCell ref="I26:M26"/>
    <mergeCell ref="N26:R26"/>
    <mergeCell ref="S26:W26"/>
    <mergeCell ref="X26:AB26"/>
    <mergeCell ref="AC26:AG26"/>
    <mergeCell ref="AH26:AL26"/>
    <mergeCell ref="AM26:AQ26"/>
    <mergeCell ref="AR27:AV27"/>
    <mergeCell ref="AW27:BA27"/>
    <mergeCell ref="BB27:BF27"/>
    <mergeCell ref="BG27:BK27"/>
    <mergeCell ref="I27:M27"/>
    <mergeCell ref="N27:R27"/>
    <mergeCell ref="S27:W27"/>
    <mergeCell ref="X27:AB27"/>
    <mergeCell ref="AC27:AG27"/>
    <mergeCell ref="AH27:AL27"/>
    <mergeCell ref="AM27:AQ27"/>
    <mergeCell ref="AR28:AV28"/>
    <mergeCell ref="AW28:BA28"/>
    <mergeCell ref="BB28:BF28"/>
    <mergeCell ref="BG28:BK28"/>
    <mergeCell ref="I28:M28"/>
    <mergeCell ref="N28:R28"/>
    <mergeCell ref="S28:W28"/>
    <mergeCell ref="X28:AB28"/>
    <mergeCell ref="AC28:AG28"/>
    <mergeCell ref="AH28:AL28"/>
    <mergeCell ref="AM28:AQ28"/>
    <mergeCell ref="AR29:AV29"/>
    <mergeCell ref="AW29:BA29"/>
    <mergeCell ref="BB29:BF29"/>
    <mergeCell ref="BG29:BK29"/>
    <mergeCell ref="I29:M29"/>
    <mergeCell ref="N29:R29"/>
    <mergeCell ref="S29:W29"/>
    <mergeCell ref="X29:AB29"/>
    <mergeCell ref="AC29:AG29"/>
    <mergeCell ref="AH29:AL29"/>
    <mergeCell ref="AM29:AQ29"/>
    <mergeCell ref="AR30:AV30"/>
    <mergeCell ref="AW30:BA30"/>
    <mergeCell ref="BB30:BF30"/>
    <mergeCell ref="BG30:BK30"/>
    <mergeCell ref="I30:M30"/>
    <mergeCell ref="N30:R30"/>
    <mergeCell ref="S30:W30"/>
    <mergeCell ref="X30:AB30"/>
    <mergeCell ref="AC30:AG30"/>
    <mergeCell ref="AH30:AL30"/>
    <mergeCell ref="AM30:AQ30"/>
    <mergeCell ref="AR31:AV31"/>
    <mergeCell ref="AW31:BA31"/>
    <mergeCell ref="BB31:BF31"/>
    <mergeCell ref="BG31:BK31"/>
    <mergeCell ref="I31:M31"/>
    <mergeCell ref="N31:R31"/>
    <mergeCell ref="S31:W31"/>
    <mergeCell ref="X31:AB31"/>
    <mergeCell ref="AC31:AG31"/>
    <mergeCell ref="AH31:AL31"/>
    <mergeCell ref="AM31:AQ31"/>
    <mergeCell ref="AR32:AV32"/>
    <mergeCell ref="AW32:BA32"/>
    <mergeCell ref="BB32:BF32"/>
    <mergeCell ref="BG32:BK32"/>
    <mergeCell ref="I32:M32"/>
    <mergeCell ref="N32:R32"/>
    <mergeCell ref="S32:W32"/>
    <mergeCell ref="X32:AB32"/>
    <mergeCell ref="AC32:AG32"/>
    <mergeCell ref="AH32:AL32"/>
    <mergeCell ref="AM32:AQ32"/>
    <mergeCell ref="AR40:AV40"/>
    <mergeCell ref="AW40:BA40"/>
    <mergeCell ref="BB40:BF40"/>
    <mergeCell ref="BG40:BK40"/>
    <mergeCell ref="I40:M40"/>
    <mergeCell ref="N40:R40"/>
    <mergeCell ref="S40:W40"/>
    <mergeCell ref="X40:AB40"/>
    <mergeCell ref="AC40:AG40"/>
    <mergeCell ref="AH40:AL40"/>
    <mergeCell ref="AM40:AQ40"/>
    <mergeCell ref="AR41:AV41"/>
    <mergeCell ref="AW41:BA41"/>
    <mergeCell ref="BB41:BF41"/>
    <mergeCell ref="BG41:BK41"/>
    <mergeCell ref="I41:M41"/>
    <mergeCell ref="N41:R41"/>
    <mergeCell ref="S41:W41"/>
    <mergeCell ref="X41:AB41"/>
    <mergeCell ref="AC41:AG41"/>
    <mergeCell ref="AH41:AL41"/>
    <mergeCell ref="AM41:AQ41"/>
    <mergeCell ref="AR11:AV11"/>
    <mergeCell ref="AW11:BA11"/>
    <mergeCell ref="BB11:BF11"/>
    <mergeCell ref="BG11:BK11"/>
    <mergeCell ref="I11:M11"/>
    <mergeCell ref="N11:R11"/>
    <mergeCell ref="S11:W11"/>
    <mergeCell ref="X11:AB11"/>
    <mergeCell ref="AC11:AG11"/>
    <mergeCell ref="AH11:AL11"/>
    <mergeCell ref="AM11:AQ11"/>
    <mergeCell ref="AR12:AV12"/>
    <mergeCell ref="AW12:BA12"/>
    <mergeCell ref="BB12:BF12"/>
    <mergeCell ref="BG12:BK12"/>
    <mergeCell ref="I12:M12"/>
    <mergeCell ref="N12:R12"/>
    <mergeCell ref="S12:W12"/>
    <mergeCell ref="X12:AB12"/>
    <mergeCell ref="AC12:AG12"/>
    <mergeCell ref="AH12:AL12"/>
    <mergeCell ref="AM12:AQ12"/>
    <mergeCell ref="AR13:AV13"/>
    <mergeCell ref="AW13:BA13"/>
    <mergeCell ref="BB13:BF13"/>
    <mergeCell ref="BG13:BK13"/>
    <mergeCell ref="I13:M13"/>
    <mergeCell ref="N13:R13"/>
    <mergeCell ref="S13:W13"/>
    <mergeCell ref="X13:AB13"/>
    <mergeCell ref="AC13:AG13"/>
    <mergeCell ref="AH13:AL13"/>
    <mergeCell ref="AM13:AQ13"/>
    <mergeCell ref="AR43:AV43"/>
    <mergeCell ref="AW43:BA43"/>
    <mergeCell ref="BB43:BF43"/>
    <mergeCell ref="BG43:BK43"/>
    <mergeCell ref="I43:M43"/>
    <mergeCell ref="N43:R43"/>
    <mergeCell ref="S43:W43"/>
    <mergeCell ref="X43:AB43"/>
    <mergeCell ref="AC43:AG43"/>
    <mergeCell ref="AH43:AL43"/>
    <mergeCell ref="AM43:AQ43"/>
    <mergeCell ref="AH45:AL45"/>
    <mergeCell ref="AM45:AQ45"/>
    <mergeCell ref="AR45:AV45"/>
    <mergeCell ref="AW45:BA45"/>
    <mergeCell ref="BB45:BF45"/>
    <mergeCell ref="BG45:BK45"/>
    <mergeCell ref="X45:AB45"/>
    <mergeCell ref="AC45:AG45"/>
    <mergeCell ref="X46:AB46"/>
    <mergeCell ref="AC46:AG46"/>
    <mergeCell ref="AH46:AL46"/>
    <mergeCell ref="AM46:AQ46"/>
    <mergeCell ref="AR46:AV46"/>
    <mergeCell ref="BG46:BK46"/>
    <mergeCell ref="N45:R45"/>
    <mergeCell ref="S45:W45"/>
    <mergeCell ref="N46:R46"/>
    <mergeCell ref="S46:W46"/>
    <mergeCell ref="N47:R47"/>
    <mergeCell ref="S47:W47"/>
    <mergeCell ref="X47:AB47"/>
    <mergeCell ref="AH49:AL49"/>
    <mergeCell ref="AM49:AQ49"/>
    <mergeCell ref="AR49:AV49"/>
    <mergeCell ref="AW49:BA49"/>
    <mergeCell ref="BB49:BF49"/>
    <mergeCell ref="BG49:BK49"/>
    <mergeCell ref="N48:R48"/>
    <mergeCell ref="S48:W48"/>
    <mergeCell ref="X48:AB48"/>
    <mergeCell ref="N49:R49"/>
    <mergeCell ref="S49:W49"/>
    <mergeCell ref="X49:AB49"/>
    <mergeCell ref="AC49:AG49"/>
    <mergeCell ref="D48:E48"/>
    <mergeCell ref="D49:E49"/>
    <mergeCell ref="D50:E50"/>
    <mergeCell ref="I44:M44"/>
    <mergeCell ref="I45:M45"/>
    <mergeCell ref="D46:E46"/>
    <mergeCell ref="I46:M46"/>
    <mergeCell ref="D47:E47"/>
    <mergeCell ref="I47:M47"/>
    <mergeCell ref="I48:M48"/>
    <mergeCell ref="I49:M49"/>
    <mergeCell ref="AR42:AV42"/>
    <mergeCell ref="AW42:BA42"/>
    <mergeCell ref="BB42:BF42"/>
    <mergeCell ref="BG42:BK42"/>
    <mergeCell ref="I42:M42"/>
    <mergeCell ref="N42:R42"/>
    <mergeCell ref="S42:W42"/>
    <mergeCell ref="X42:AB42"/>
    <mergeCell ref="AC42:AG42"/>
    <mergeCell ref="AH42:AL42"/>
    <mergeCell ref="AM42:AQ42"/>
    <mergeCell ref="AM44:AQ44"/>
    <mergeCell ref="AR44:AV44"/>
    <mergeCell ref="AW44:BA44"/>
    <mergeCell ref="BB44:BF44"/>
    <mergeCell ref="BG44:BK44"/>
    <mergeCell ref="D44:E44"/>
    <mergeCell ref="N44:R44"/>
    <mergeCell ref="S44:W44"/>
    <mergeCell ref="X44:AB44"/>
    <mergeCell ref="AC44:AG44"/>
    <mergeCell ref="AH44:AL44"/>
    <mergeCell ref="D45:E45"/>
    <mergeCell ref="AW46:BA46"/>
    <mergeCell ref="BB46:BF46"/>
    <mergeCell ref="AC48:AG48"/>
    <mergeCell ref="AH48:AL48"/>
    <mergeCell ref="AM48:AQ48"/>
    <mergeCell ref="AR48:AV48"/>
    <mergeCell ref="AW48:BA48"/>
    <mergeCell ref="BB48:BF48"/>
    <mergeCell ref="BG48:BK48"/>
    <mergeCell ref="AC47:AG47"/>
    <mergeCell ref="AH47:AL47"/>
    <mergeCell ref="AM47:AQ47"/>
    <mergeCell ref="AR47:AV47"/>
    <mergeCell ref="AW47:BA47"/>
    <mergeCell ref="BB47:BF47"/>
    <mergeCell ref="BG47:BK47"/>
    <mergeCell ref="AR33:AV33"/>
    <mergeCell ref="AW33:BA33"/>
    <mergeCell ref="BB33:BF33"/>
    <mergeCell ref="BG33:BK33"/>
    <mergeCell ref="I33:M33"/>
    <mergeCell ref="N33:R33"/>
    <mergeCell ref="S33:W33"/>
    <mergeCell ref="X33:AB33"/>
    <mergeCell ref="AC33:AG33"/>
    <mergeCell ref="AH33:AL33"/>
    <mergeCell ref="AM33:AQ33"/>
    <mergeCell ref="AR34:AV34"/>
    <mergeCell ref="AW34:BA34"/>
    <mergeCell ref="BB34:BF34"/>
    <mergeCell ref="BG34:BK34"/>
    <mergeCell ref="I34:M34"/>
    <mergeCell ref="N34:R34"/>
    <mergeCell ref="S34:W34"/>
    <mergeCell ref="X34:AB34"/>
    <mergeCell ref="AC34:AG34"/>
    <mergeCell ref="AH34:AL34"/>
    <mergeCell ref="AM34:AQ34"/>
    <mergeCell ref="AR35:AV35"/>
    <mergeCell ref="AW35:BA35"/>
    <mergeCell ref="BB35:BF35"/>
    <mergeCell ref="BG35:BK35"/>
    <mergeCell ref="I35:M35"/>
    <mergeCell ref="N35:R35"/>
    <mergeCell ref="S35:W35"/>
    <mergeCell ref="X35:AB35"/>
    <mergeCell ref="AC35:AG35"/>
    <mergeCell ref="AH35:AL35"/>
    <mergeCell ref="AM35:AQ35"/>
    <mergeCell ref="AR36:AV36"/>
    <mergeCell ref="AW36:BA36"/>
    <mergeCell ref="BB36:BF36"/>
    <mergeCell ref="BG36:BK36"/>
    <mergeCell ref="I36:M36"/>
    <mergeCell ref="N36:R36"/>
    <mergeCell ref="S36:W36"/>
    <mergeCell ref="X36:AB36"/>
    <mergeCell ref="AC36:AG36"/>
    <mergeCell ref="AH36:AL36"/>
    <mergeCell ref="AM36:AQ36"/>
    <mergeCell ref="AR37:AV37"/>
    <mergeCell ref="AW37:BA37"/>
    <mergeCell ref="BB37:BF37"/>
    <mergeCell ref="BG37:BK37"/>
    <mergeCell ref="I37:M37"/>
    <mergeCell ref="N37:R37"/>
    <mergeCell ref="S37:W37"/>
    <mergeCell ref="X37:AB37"/>
    <mergeCell ref="AC37:AG37"/>
    <mergeCell ref="AH37:AL37"/>
    <mergeCell ref="AM37:AQ37"/>
    <mergeCell ref="AR38:AV38"/>
    <mergeCell ref="AW38:BA38"/>
    <mergeCell ref="BB38:BF38"/>
    <mergeCell ref="BG38:BK38"/>
    <mergeCell ref="I38:M38"/>
    <mergeCell ref="N38:R38"/>
    <mergeCell ref="S38:W38"/>
    <mergeCell ref="X38:AB38"/>
    <mergeCell ref="AC38:AG38"/>
    <mergeCell ref="AH38:AL38"/>
    <mergeCell ref="AM38:AQ38"/>
    <mergeCell ref="AR39:AV39"/>
    <mergeCell ref="AW39:BA39"/>
    <mergeCell ref="BB39:BF39"/>
    <mergeCell ref="BG39:BK39"/>
    <mergeCell ref="I39:M39"/>
    <mergeCell ref="N39:R39"/>
    <mergeCell ref="S39:W39"/>
    <mergeCell ref="X39:AB39"/>
    <mergeCell ref="AC39:AG39"/>
    <mergeCell ref="AH39:AL39"/>
    <mergeCell ref="AM39:AQ3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5818E"/>
    <outlinePr summaryBelow="0" summaryRight="0"/>
  </sheetPr>
  <sheetViews>
    <sheetView showGridLines="0" workbookViewId="0"/>
  </sheetViews>
  <sheetFormatPr customHeight="1" defaultColWidth="13.44" defaultRowHeight="15.0"/>
  <cols>
    <col customWidth="1" min="1" max="1" width="3.78"/>
    <col customWidth="1" min="2" max="2" width="24.33"/>
    <col customWidth="1" min="3" max="3" width="15.78"/>
    <col customWidth="1" min="4" max="4" width="8.0"/>
    <col customWidth="1" min="5" max="5" width="6.78"/>
    <col customWidth="1" min="6" max="6" width="12.44"/>
    <col customWidth="1" min="7" max="7" width="12.33"/>
    <col customWidth="1" min="8" max="8" width="4.0"/>
    <col customWidth="1" min="9" max="63" width="3.0"/>
  </cols>
  <sheetData>
    <row r="1" ht="21.0" customHeight="1">
      <c r="A1" s="1"/>
      <c r="B1" s="2"/>
      <c r="C1" s="3"/>
      <c r="D1" s="3"/>
      <c r="E1" s="3"/>
      <c r="F1" s="3"/>
      <c r="G1" s="4"/>
      <c r="H1" s="4"/>
      <c r="I1" s="5"/>
      <c r="J1" s="6"/>
      <c r="K1" s="7"/>
      <c r="L1" s="8"/>
      <c r="M1" s="7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1"/>
      <c r="Z1" s="11"/>
      <c r="AA1" s="11"/>
      <c r="AB1" s="11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</row>
    <row r="2" ht="21.0" customHeight="1">
      <c r="A2" s="10"/>
      <c r="B2" s="62" t="s">
        <v>39</v>
      </c>
      <c r="C2" s="12"/>
      <c r="D2" s="12"/>
      <c r="E2" s="12"/>
      <c r="F2" s="12"/>
      <c r="G2" s="12"/>
      <c r="H2" s="12"/>
      <c r="I2" s="13"/>
      <c r="J2" s="14"/>
      <c r="K2" s="14"/>
      <c r="L2" s="14"/>
      <c r="M2" s="14"/>
      <c r="N2" s="14"/>
      <c r="O2" s="15"/>
      <c r="P2" s="14"/>
      <c r="Q2" s="14"/>
      <c r="R2" s="14"/>
      <c r="S2" s="14"/>
      <c r="T2" s="14"/>
      <c r="U2" s="14"/>
      <c r="V2" s="14"/>
      <c r="W2" s="14"/>
      <c r="X2" s="16"/>
      <c r="Y2" s="16"/>
      <c r="Z2" s="16"/>
      <c r="AA2" s="16"/>
      <c r="AB2" s="16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ht="21.0" customHeight="1">
      <c r="A3" s="17"/>
      <c r="B3" s="18"/>
      <c r="C3" s="18"/>
      <c r="D3" s="18"/>
      <c r="E3" s="18"/>
      <c r="F3" s="18"/>
      <c r="G3" s="18"/>
      <c r="H3" s="19"/>
      <c r="I3" s="18"/>
      <c r="J3" s="18"/>
      <c r="K3" s="18"/>
      <c r="L3" s="18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</row>
    <row r="4" ht="21.0" customHeight="1">
      <c r="A4" s="20"/>
      <c r="B4" s="21"/>
      <c r="D4" s="21"/>
      <c r="E4" s="21"/>
      <c r="I4" s="22" t="s">
        <v>2</v>
      </c>
      <c r="R4" s="23"/>
      <c r="S4" s="22" t="s">
        <v>3</v>
      </c>
      <c r="AB4" s="23"/>
      <c r="AC4" s="24" t="s">
        <v>4</v>
      </c>
      <c r="AL4" s="23"/>
      <c r="AM4" s="24" t="s">
        <v>5</v>
      </c>
      <c r="AV4" s="23"/>
      <c r="AW4" s="25" t="s">
        <v>43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7"/>
    </row>
    <row r="5" ht="21.0" customHeight="1">
      <c r="A5" s="28"/>
      <c r="D5" s="21"/>
      <c r="I5" s="29" t="s">
        <v>7</v>
      </c>
      <c r="J5" s="30"/>
      <c r="K5" s="30"/>
      <c r="L5" s="30"/>
      <c r="M5" s="30"/>
      <c r="N5" s="29" t="s">
        <v>8</v>
      </c>
      <c r="O5" s="30"/>
      <c r="P5" s="30"/>
      <c r="Q5" s="30"/>
      <c r="R5" s="30"/>
      <c r="S5" s="29" t="s">
        <v>7</v>
      </c>
      <c r="T5" s="30"/>
      <c r="U5" s="30"/>
      <c r="V5" s="30"/>
      <c r="W5" s="30"/>
      <c r="X5" s="29" t="s">
        <v>8</v>
      </c>
      <c r="Y5" s="30"/>
      <c r="Z5" s="30"/>
      <c r="AA5" s="30"/>
      <c r="AB5" s="30"/>
      <c r="AC5" s="29" t="s">
        <v>7</v>
      </c>
      <c r="AD5" s="30"/>
      <c r="AE5" s="30"/>
      <c r="AF5" s="30"/>
      <c r="AG5" s="30"/>
      <c r="AH5" s="29" t="s">
        <v>8</v>
      </c>
      <c r="AI5" s="30"/>
      <c r="AJ5" s="30"/>
      <c r="AK5" s="30"/>
      <c r="AL5" s="30"/>
      <c r="AM5" s="29" t="s">
        <v>7</v>
      </c>
      <c r="AN5" s="30"/>
      <c r="AO5" s="30"/>
      <c r="AP5" s="30"/>
      <c r="AQ5" s="30"/>
      <c r="AR5" s="29" t="s">
        <v>8</v>
      </c>
      <c r="AS5" s="30"/>
      <c r="AT5" s="30"/>
      <c r="AU5" s="30"/>
      <c r="AV5" s="30"/>
      <c r="AW5" s="31" t="s">
        <v>9</v>
      </c>
      <c r="AX5" s="30"/>
      <c r="AY5" s="30"/>
      <c r="AZ5" s="30"/>
      <c r="BA5" s="30"/>
      <c r="BB5" s="29" t="s">
        <v>8</v>
      </c>
      <c r="BC5" s="30"/>
      <c r="BD5" s="30"/>
      <c r="BE5" s="30"/>
      <c r="BF5" s="30"/>
      <c r="BG5" s="29" t="s">
        <v>10</v>
      </c>
      <c r="BH5" s="30"/>
      <c r="BI5" s="30"/>
      <c r="BJ5" s="30"/>
      <c r="BK5" s="32"/>
    </row>
    <row r="6" ht="21.0" customHeight="1">
      <c r="A6" s="33"/>
      <c r="B6" s="63" t="s">
        <v>45</v>
      </c>
      <c r="C6" s="63" t="s">
        <v>12</v>
      </c>
      <c r="D6" s="64" t="s">
        <v>13</v>
      </c>
      <c r="E6" s="36"/>
      <c r="F6" s="63" t="s">
        <v>14</v>
      </c>
      <c r="G6" s="63" t="s">
        <v>15</v>
      </c>
      <c r="H6" s="63" t="s">
        <v>16</v>
      </c>
      <c r="I6" s="65"/>
      <c r="J6" s="36"/>
      <c r="K6" s="36"/>
      <c r="L6" s="36"/>
      <c r="M6" s="36"/>
      <c r="N6" s="66"/>
      <c r="O6" s="36"/>
      <c r="P6" s="36"/>
      <c r="Q6" s="36"/>
      <c r="R6" s="36"/>
      <c r="S6" s="65"/>
      <c r="T6" s="36"/>
      <c r="U6" s="36"/>
      <c r="V6" s="36"/>
      <c r="W6" s="36"/>
      <c r="X6" s="66"/>
      <c r="Y6" s="36"/>
      <c r="Z6" s="36"/>
      <c r="AA6" s="36"/>
      <c r="AB6" s="36"/>
      <c r="AC6" s="66"/>
      <c r="AD6" s="36"/>
      <c r="AE6" s="36"/>
      <c r="AF6" s="36"/>
      <c r="AG6" s="36"/>
      <c r="AH6" s="66"/>
      <c r="AI6" s="36"/>
      <c r="AJ6" s="36"/>
      <c r="AK6" s="36"/>
      <c r="AL6" s="36"/>
      <c r="AM6" s="66"/>
      <c r="AN6" s="36"/>
      <c r="AO6" s="36"/>
      <c r="AP6" s="36"/>
      <c r="AQ6" s="36"/>
      <c r="AR6" s="66"/>
      <c r="AS6" s="36"/>
      <c r="AT6" s="36"/>
      <c r="AU6" s="36"/>
      <c r="AV6" s="36"/>
      <c r="AW6" s="67">
        <v>195900.0</v>
      </c>
      <c r="AX6" s="36"/>
      <c r="AY6" s="36"/>
      <c r="AZ6" s="36"/>
      <c r="BA6" s="36"/>
      <c r="BB6" s="40">
        <f>sum(BB7:BF86)</f>
        <v>131427.21</v>
      </c>
      <c r="BC6" s="36"/>
      <c r="BD6" s="36"/>
      <c r="BE6" s="36"/>
      <c r="BF6" s="36"/>
      <c r="BG6" s="68">
        <f>AW6-BB6</f>
        <v>64472.79</v>
      </c>
      <c r="BH6" s="36"/>
      <c r="BI6" s="36"/>
      <c r="BJ6" s="36"/>
      <c r="BK6" s="42"/>
    </row>
    <row r="7" ht="21.0" customHeight="1">
      <c r="A7" s="43"/>
      <c r="B7" s="44" t="s">
        <v>51</v>
      </c>
      <c r="C7" s="44" t="s">
        <v>52</v>
      </c>
      <c r="D7" s="45">
        <v>44815.0</v>
      </c>
      <c r="E7" s="45">
        <v>44819.0</v>
      </c>
      <c r="F7" s="44" t="s">
        <v>53</v>
      </c>
      <c r="G7" s="44" t="s">
        <v>26</v>
      </c>
      <c r="H7" s="44" t="s">
        <v>21</v>
      </c>
      <c r="I7" s="46">
        <v>2038.84</v>
      </c>
      <c r="J7" s="47"/>
      <c r="K7" s="47"/>
      <c r="L7" s="47"/>
      <c r="M7" s="48"/>
      <c r="N7" s="69">
        <v>1788.63</v>
      </c>
      <c r="O7" s="47"/>
      <c r="P7" s="47"/>
      <c r="Q7" s="47"/>
      <c r="R7" s="48"/>
      <c r="S7" s="50"/>
      <c r="T7" s="47"/>
      <c r="U7" s="47"/>
      <c r="V7" s="47"/>
      <c r="W7" s="48"/>
      <c r="X7" s="51"/>
      <c r="Y7" s="47"/>
      <c r="Z7" s="47"/>
      <c r="AA7" s="47"/>
      <c r="AB7" s="48"/>
      <c r="AC7" s="50"/>
      <c r="AD7" s="47"/>
      <c r="AE7" s="47"/>
      <c r="AF7" s="47"/>
      <c r="AG7" s="48"/>
      <c r="AH7" s="52"/>
      <c r="AI7" s="47"/>
      <c r="AJ7" s="47"/>
      <c r="AK7" s="47"/>
      <c r="AL7" s="48"/>
      <c r="AM7" s="50"/>
      <c r="AN7" s="47"/>
      <c r="AO7" s="47"/>
      <c r="AP7" s="47"/>
      <c r="AQ7" s="48"/>
      <c r="AR7" s="52"/>
      <c r="AS7" s="47"/>
      <c r="AT7" s="47"/>
      <c r="AU7" s="47"/>
      <c r="AV7" s="48"/>
      <c r="AW7" s="53" t="s">
        <v>54</v>
      </c>
      <c r="AX7" s="47"/>
      <c r="AY7" s="47"/>
      <c r="AZ7" s="47"/>
      <c r="BA7" s="48"/>
      <c r="BB7" s="54">
        <f>SUM(N7:R31)</f>
        <v>7980.49</v>
      </c>
      <c r="BC7" s="47"/>
      <c r="BD7" s="47"/>
      <c r="BE7" s="47"/>
      <c r="BF7" s="48"/>
      <c r="BG7" s="55" t="s">
        <v>22</v>
      </c>
      <c r="BH7" s="47"/>
      <c r="BI7" s="47"/>
      <c r="BJ7" s="47"/>
      <c r="BK7" s="56"/>
    </row>
    <row r="8" ht="21.0" customHeight="1">
      <c r="A8" s="43"/>
      <c r="B8" s="44" t="s">
        <v>51</v>
      </c>
      <c r="C8" s="44" t="s">
        <v>29</v>
      </c>
      <c r="D8" s="45">
        <v>44872.0</v>
      </c>
      <c r="E8" s="45">
        <v>44875.0</v>
      </c>
      <c r="F8" s="44" t="s">
        <v>30</v>
      </c>
      <c r="G8" s="44" t="s">
        <v>26</v>
      </c>
      <c r="H8" s="57" t="s">
        <v>21</v>
      </c>
      <c r="I8" s="46">
        <v>1559.67</v>
      </c>
      <c r="J8" s="47"/>
      <c r="K8" s="47"/>
      <c r="L8" s="47"/>
      <c r="M8" s="48"/>
      <c r="N8" s="69">
        <v>1152.1</v>
      </c>
      <c r="O8" s="47"/>
      <c r="P8" s="47"/>
      <c r="Q8" s="47"/>
      <c r="R8" s="48"/>
      <c r="S8" s="50"/>
      <c r="T8" s="47"/>
      <c r="U8" s="47"/>
      <c r="V8" s="47"/>
      <c r="W8" s="48"/>
      <c r="X8" s="70"/>
      <c r="Y8" s="47"/>
      <c r="Z8" s="47"/>
      <c r="AA8" s="47"/>
      <c r="AB8" s="48"/>
      <c r="AC8" s="50"/>
      <c r="AD8" s="47"/>
      <c r="AE8" s="47"/>
      <c r="AF8" s="47"/>
      <c r="AG8" s="48"/>
      <c r="AH8" s="51"/>
      <c r="AI8" s="47"/>
      <c r="AJ8" s="47"/>
      <c r="AK8" s="47"/>
      <c r="AL8" s="48"/>
      <c r="AM8" s="50"/>
      <c r="AN8" s="47"/>
      <c r="AO8" s="47"/>
      <c r="AP8" s="47"/>
      <c r="AQ8" s="48"/>
      <c r="AR8" s="52"/>
      <c r="AS8" s="47"/>
      <c r="AT8" s="47"/>
      <c r="AU8" s="47"/>
      <c r="AV8" s="48"/>
      <c r="AW8" s="53"/>
      <c r="AX8" s="47"/>
      <c r="AY8" s="47"/>
      <c r="AZ8" s="47"/>
      <c r="BA8" s="48"/>
      <c r="BB8" s="54">
        <f>SUM(X7:AB31)</f>
        <v>11165.73</v>
      </c>
      <c r="BC8" s="47"/>
      <c r="BD8" s="47"/>
      <c r="BE8" s="47"/>
      <c r="BF8" s="48"/>
      <c r="BG8" s="55" t="s">
        <v>3</v>
      </c>
      <c r="BH8" s="47"/>
      <c r="BI8" s="47"/>
      <c r="BJ8" s="47"/>
      <c r="BK8" s="56"/>
    </row>
    <row r="9" ht="21.0" customHeight="1">
      <c r="A9" s="43"/>
      <c r="B9" s="44" t="s">
        <v>57</v>
      </c>
      <c r="C9" s="44" t="s">
        <v>29</v>
      </c>
      <c r="D9" s="45">
        <v>44872.0</v>
      </c>
      <c r="E9" s="45">
        <v>44875.0</v>
      </c>
      <c r="F9" s="44" t="s">
        <v>30</v>
      </c>
      <c r="G9" s="44" t="s">
        <v>26</v>
      </c>
      <c r="H9" s="57" t="s">
        <v>21</v>
      </c>
      <c r="I9" s="46">
        <v>1364.96</v>
      </c>
      <c r="J9" s="47"/>
      <c r="K9" s="47"/>
      <c r="L9" s="47"/>
      <c r="M9" s="48"/>
      <c r="N9" s="69">
        <v>1288.82</v>
      </c>
      <c r="O9" s="47"/>
      <c r="P9" s="47"/>
      <c r="Q9" s="47"/>
      <c r="R9" s="48"/>
      <c r="S9" s="50"/>
      <c r="T9" s="47"/>
      <c r="U9" s="47"/>
      <c r="V9" s="47"/>
      <c r="W9" s="48"/>
      <c r="X9" s="51"/>
      <c r="Y9" s="47"/>
      <c r="Z9" s="47"/>
      <c r="AA9" s="47"/>
      <c r="AB9" s="48"/>
      <c r="AC9" s="50"/>
      <c r="AD9" s="47"/>
      <c r="AE9" s="47"/>
      <c r="AF9" s="47"/>
      <c r="AG9" s="48"/>
      <c r="AH9" s="52"/>
      <c r="AI9" s="47"/>
      <c r="AJ9" s="47"/>
      <c r="AK9" s="47"/>
      <c r="AL9" s="48"/>
      <c r="AM9" s="50"/>
      <c r="AN9" s="47"/>
      <c r="AO9" s="47"/>
      <c r="AP9" s="47"/>
      <c r="AQ9" s="48"/>
      <c r="AR9" s="51"/>
      <c r="AS9" s="47"/>
      <c r="AT9" s="47"/>
      <c r="AU9" s="47"/>
      <c r="AV9" s="48"/>
      <c r="AW9" s="53"/>
      <c r="AX9" s="47"/>
      <c r="AY9" s="47"/>
      <c r="AZ9" s="47"/>
      <c r="BA9" s="48"/>
      <c r="BB9" s="54">
        <f>SUM(AH7:AL31)</f>
        <v>6659.72</v>
      </c>
      <c r="BC9" s="47"/>
      <c r="BD9" s="47"/>
      <c r="BE9" s="47"/>
      <c r="BF9" s="48"/>
      <c r="BG9" s="55" t="s">
        <v>4</v>
      </c>
      <c r="BH9" s="47"/>
      <c r="BI9" s="47"/>
      <c r="BJ9" s="47"/>
      <c r="BK9" s="56"/>
    </row>
    <row r="10" ht="21.0" customHeight="1">
      <c r="A10" s="43"/>
      <c r="B10" s="44" t="s">
        <v>51</v>
      </c>
      <c r="C10" s="44" t="s">
        <v>52</v>
      </c>
      <c r="D10" s="45">
        <v>44906.0</v>
      </c>
      <c r="E10" s="45">
        <v>44910.0</v>
      </c>
      <c r="F10" s="44" t="s">
        <v>61</v>
      </c>
      <c r="G10" s="44" t="s">
        <v>26</v>
      </c>
      <c r="H10" s="57" t="s">
        <v>21</v>
      </c>
      <c r="I10" s="46">
        <v>1926.67</v>
      </c>
      <c r="J10" s="47"/>
      <c r="K10" s="47"/>
      <c r="L10" s="47"/>
      <c r="M10" s="48"/>
      <c r="N10" s="71">
        <v>1837.97</v>
      </c>
      <c r="O10" s="47"/>
      <c r="P10" s="47"/>
      <c r="Q10" s="47"/>
      <c r="R10" s="48"/>
      <c r="S10" s="50"/>
      <c r="T10" s="47"/>
      <c r="U10" s="47"/>
      <c r="V10" s="47"/>
      <c r="W10" s="48"/>
      <c r="X10" s="51"/>
      <c r="Y10" s="47"/>
      <c r="Z10" s="47"/>
      <c r="AA10" s="47"/>
      <c r="AB10" s="48"/>
      <c r="AC10" s="50"/>
      <c r="AD10" s="47"/>
      <c r="AE10" s="47"/>
      <c r="AF10" s="47"/>
      <c r="AG10" s="48"/>
      <c r="AH10" s="51"/>
      <c r="AI10" s="47"/>
      <c r="AJ10" s="47"/>
      <c r="AK10" s="47"/>
      <c r="AL10" s="48"/>
      <c r="AM10" s="50"/>
      <c r="AN10" s="47"/>
      <c r="AO10" s="47"/>
      <c r="AP10" s="47"/>
      <c r="AQ10" s="48"/>
      <c r="AR10" s="51"/>
      <c r="AS10" s="47"/>
      <c r="AT10" s="47"/>
      <c r="AU10" s="47"/>
      <c r="AV10" s="48"/>
      <c r="AW10" s="53"/>
      <c r="AX10" s="47"/>
      <c r="AY10" s="47"/>
      <c r="AZ10" s="47"/>
      <c r="BA10" s="48"/>
      <c r="BB10" s="54">
        <f>SUM(AR7:AV31)</f>
        <v>15862.52</v>
      </c>
      <c r="BC10" s="47"/>
      <c r="BD10" s="47"/>
      <c r="BE10" s="47"/>
      <c r="BF10" s="48"/>
      <c r="BG10" s="55" t="s">
        <v>5</v>
      </c>
      <c r="BH10" s="47"/>
      <c r="BI10" s="47"/>
      <c r="BJ10" s="47"/>
      <c r="BK10" s="56"/>
    </row>
    <row r="11" ht="21.0" customHeight="1">
      <c r="A11" s="43"/>
      <c r="B11" s="44" t="s">
        <v>57</v>
      </c>
      <c r="C11" s="44" t="s">
        <v>63</v>
      </c>
      <c r="D11" s="45">
        <v>44900.0</v>
      </c>
      <c r="E11" s="45">
        <v>44903.0</v>
      </c>
      <c r="F11" s="44" t="s">
        <v>19</v>
      </c>
      <c r="G11" s="44" t="s">
        <v>64</v>
      </c>
      <c r="H11" s="57" t="s">
        <v>21</v>
      </c>
      <c r="I11" s="46">
        <v>1892.81</v>
      </c>
      <c r="J11" s="47"/>
      <c r="K11" s="47"/>
      <c r="L11" s="47"/>
      <c r="M11" s="48"/>
      <c r="N11" s="71">
        <v>1659.04</v>
      </c>
      <c r="O11" s="47"/>
      <c r="P11" s="47"/>
      <c r="Q11" s="47"/>
      <c r="R11" s="48"/>
      <c r="S11" s="50"/>
      <c r="T11" s="47"/>
      <c r="U11" s="47"/>
      <c r="V11" s="47"/>
      <c r="W11" s="48"/>
      <c r="X11" s="51"/>
      <c r="Y11" s="47"/>
      <c r="Z11" s="47"/>
      <c r="AA11" s="47"/>
      <c r="AB11" s="48"/>
      <c r="AC11" s="50"/>
      <c r="AD11" s="47"/>
      <c r="AE11" s="47"/>
      <c r="AF11" s="47"/>
      <c r="AG11" s="48"/>
      <c r="AH11" s="51"/>
      <c r="AI11" s="47"/>
      <c r="AJ11" s="47"/>
      <c r="AK11" s="47"/>
      <c r="AL11" s="48"/>
      <c r="AM11" s="50"/>
      <c r="AN11" s="47"/>
      <c r="AO11" s="47"/>
      <c r="AP11" s="47"/>
      <c r="AQ11" s="48"/>
      <c r="AR11" s="51"/>
      <c r="AS11" s="47"/>
      <c r="AT11" s="47"/>
      <c r="AU11" s="47"/>
      <c r="AV11" s="48"/>
      <c r="AW11" s="53"/>
      <c r="AX11" s="47"/>
      <c r="AY11" s="47"/>
      <c r="AZ11" s="47"/>
      <c r="BA11" s="48"/>
      <c r="BB11" s="54"/>
      <c r="BC11" s="47"/>
      <c r="BD11" s="47"/>
      <c r="BE11" s="47"/>
      <c r="BF11" s="48"/>
      <c r="BG11" s="55"/>
      <c r="BH11" s="47"/>
      <c r="BI11" s="47"/>
      <c r="BJ11" s="47"/>
      <c r="BK11" s="56"/>
    </row>
    <row r="12" ht="21.0" customHeight="1">
      <c r="A12" s="43"/>
      <c r="B12" s="44" t="s">
        <v>66</v>
      </c>
      <c r="C12" s="44" t="s">
        <v>67</v>
      </c>
      <c r="D12" s="45">
        <v>44901.0</v>
      </c>
      <c r="E12" s="45">
        <v>44903.0</v>
      </c>
      <c r="F12" s="44" t="s">
        <v>19</v>
      </c>
      <c r="G12" s="44" t="s">
        <v>64</v>
      </c>
      <c r="H12" s="57" t="s">
        <v>60</v>
      </c>
      <c r="I12" s="46" t="s">
        <v>56</v>
      </c>
      <c r="J12" s="47"/>
      <c r="K12" s="47"/>
      <c r="L12" s="47"/>
      <c r="M12" s="48"/>
      <c r="N12" s="71">
        <v>133.5</v>
      </c>
      <c r="O12" s="47"/>
      <c r="P12" s="47"/>
      <c r="Q12" s="47"/>
      <c r="R12" s="48"/>
      <c r="S12" s="50"/>
      <c r="T12" s="47"/>
      <c r="U12" s="47"/>
      <c r="V12" s="47"/>
      <c r="W12" s="48"/>
      <c r="X12" s="51"/>
      <c r="Y12" s="47"/>
      <c r="Z12" s="47"/>
      <c r="AA12" s="47"/>
      <c r="AB12" s="48"/>
      <c r="AC12" s="50"/>
      <c r="AD12" s="47"/>
      <c r="AE12" s="47"/>
      <c r="AF12" s="47"/>
      <c r="AG12" s="48"/>
      <c r="AH12" s="51"/>
      <c r="AI12" s="47"/>
      <c r="AJ12" s="47"/>
      <c r="AK12" s="47"/>
      <c r="AL12" s="48"/>
      <c r="AM12" s="50"/>
      <c r="AN12" s="47"/>
      <c r="AO12" s="47"/>
      <c r="AP12" s="47"/>
      <c r="AQ12" s="48"/>
      <c r="AR12" s="51"/>
      <c r="AS12" s="47"/>
      <c r="AT12" s="47"/>
      <c r="AU12" s="47"/>
      <c r="AV12" s="48"/>
      <c r="AW12" s="53"/>
      <c r="AX12" s="47"/>
      <c r="AY12" s="47"/>
      <c r="AZ12" s="47"/>
      <c r="BA12" s="48"/>
      <c r="BB12" s="54"/>
      <c r="BC12" s="47"/>
      <c r="BD12" s="47"/>
      <c r="BE12" s="47"/>
      <c r="BF12" s="48"/>
      <c r="BG12" s="55"/>
      <c r="BH12" s="47"/>
      <c r="BI12" s="47"/>
      <c r="BJ12" s="47"/>
      <c r="BK12" s="56"/>
    </row>
    <row r="13" ht="21.0" customHeight="1">
      <c r="A13" s="43"/>
      <c r="B13" s="44" t="s">
        <v>70</v>
      </c>
      <c r="C13" s="44" t="s">
        <v>67</v>
      </c>
      <c r="D13" s="45">
        <v>44901.0</v>
      </c>
      <c r="E13" s="45">
        <v>44903.0</v>
      </c>
      <c r="F13" s="44" t="s">
        <v>19</v>
      </c>
      <c r="G13" s="44" t="s">
        <v>64</v>
      </c>
      <c r="H13" s="57" t="s">
        <v>60</v>
      </c>
      <c r="I13" s="46" t="s">
        <v>56</v>
      </c>
      <c r="J13" s="47"/>
      <c r="K13" s="47"/>
      <c r="L13" s="47"/>
      <c r="M13" s="48"/>
      <c r="N13" s="71">
        <v>120.43</v>
      </c>
      <c r="O13" s="47"/>
      <c r="P13" s="47"/>
      <c r="Q13" s="47"/>
      <c r="R13" s="48"/>
      <c r="S13" s="50"/>
      <c r="T13" s="47"/>
      <c r="U13" s="47"/>
      <c r="V13" s="47"/>
      <c r="W13" s="48"/>
      <c r="X13" s="51"/>
      <c r="Y13" s="47"/>
      <c r="Z13" s="47"/>
      <c r="AA13" s="47"/>
      <c r="AB13" s="48"/>
      <c r="AC13" s="50"/>
      <c r="AD13" s="47"/>
      <c r="AE13" s="47"/>
      <c r="AF13" s="47"/>
      <c r="AG13" s="48"/>
      <c r="AH13" s="51"/>
      <c r="AI13" s="47"/>
      <c r="AJ13" s="47"/>
      <c r="AK13" s="47"/>
      <c r="AL13" s="48"/>
      <c r="AM13" s="50"/>
      <c r="AN13" s="47"/>
      <c r="AO13" s="47"/>
      <c r="AP13" s="47"/>
      <c r="AQ13" s="48"/>
      <c r="AR13" s="51"/>
      <c r="AS13" s="47"/>
      <c r="AT13" s="47"/>
      <c r="AU13" s="47"/>
      <c r="AV13" s="48"/>
      <c r="AW13" s="53"/>
      <c r="AX13" s="47"/>
      <c r="AY13" s="47"/>
      <c r="AZ13" s="47"/>
      <c r="BA13" s="48"/>
      <c r="BB13" s="54"/>
      <c r="BC13" s="47"/>
      <c r="BD13" s="47"/>
      <c r="BE13" s="47"/>
      <c r="BF13" s="48"/>
      <c r="BG13" s="55"/>
      <c r="BH13" s="47"/>
      <c r="BI13" s="47"/>
      <c r="BJ13" s="47"/>
      <c r="BK13" s="56"/>
    </row>
    <row r="14" ht="21.0" customHeight="1">
      <c r="A14" s="43"/>
      <c r="B14" s="44" t="s">
        <v>51</v>
      </c>
      <c r="C14" s="44" t="s">
        <v>76</v>
      </c>
      <c r="D14" s="45">
        <v>44948.0</v>
      </c>
      <c r="E14" s="45">
        <v>44953.0</v>
      </c>
      <c r="F14" s="44" t="s">
        <v>25</v>
      </c>
      <c r="G14" s="44" t="s">
        <v>26</v>
      </c>
      <c r="H14" s="57" t="s">
        <v>21</v>
      </c>
      <c r="I14" s="50"/>
      <c r="J14" s="47"/>
      <c r="K14" s="47"/>
      <c r="L14" s="47"/>
      <c r="M14" s="48"/>
      <c r="N14" s="61"/>
      <c r="O14" s="47"/>
      <c r="P14" s="47"/>
      <c r="Q14" s="47"/>
      <c r="R14" s="48"/>
      <c r="S14" s="46">
        <v>2402.53</v>
      </c>
      <c r="T14" s="47"/>
      <c r="U14" s="47"/>
      <c r="V14" s="47"/>
      <c r="W14" s="48"/>
      <c r="X14" s="69">
        <v>2423.67</v>
      </c>
      <c r="Y14" s="47"/>
      <c r="Z14" s="47"/>
      <c r="AA14" s="47"/>
      <c r="AB14" s="48"/>
      <c r="AC14" s="50"/>
      <c r="AD14" s="47"/>
      <c r="AE14" s="47"/>
      <c r="AF14" s="47"/>
      <c r="AG14" s="48"/>
      <c r="AH14" s="51"/>
      <c r="AI14" s="47"/>
      <c r="AJ14" s="47"/>
      <c r="AK14" s="47"/>
      <c r="AL14" s="48"/>
      <c r="AM14" s="50"/>
      <c r="AN14" s="47"/>
      <c r="AO14" s="47"/>
      <c r="AP14" s="47"/>
      <c r="AQ14" s="48"/>
      <c r="AR14" s="51"/>
      <c r="AS14" s="47"/>
      <c r="AT14" s="47"/>
      <c r="AU14" s="47"/>
      <c r="AV14" s="48"/>
      <c r="AW14" s="53"/>
      <c r="AX14" s="47"/>
      <c r="AY14" s="47"/>
      <c r="AZ14" s="47"/>
      <c r="BA14" s="48"/>
      <c r="BB14" s="54"/>
      <c r="BC14" s="47"/>
      <c r="BD14" s="47"/>
      <c r="BE14" s="47"/>
      <c r="BF14" s="48"/>
      <c r="BG14" s="55"/>
      <c r="BH14" s="47"/>
      <c r="BI14" s="47"/>
      <c r="BJ14" s="47"/>
      <c r="BK14" s="56"/>
    </row>
    <row r="15" ht="21.0" customHeight="1">
      <c r="A15" s="43"/>
      <c r="B15" s="44" t="s">
        <v>51</v>
      </c>
      <c r="C15" s="44" t="s">
        <v>77</v>
      </c>
      <c r="D15" s="45">
        <v>44975.0</v>
      </c>
      <c r="E15" s="45">
        <v>44982.0</v>
      </c>
      <c r="F15" s="44" t="s">
        <v>78</v>
      </c>
      <c r="G15" s="44" t="s">
        <v>48</v>
      </c>
      <c r="H15" s="57" t="s">
        <v>49</v>
      </c>
      <c r="I15" s="50"/>
      <c r="J15" s="47"/>
      <c r="K15" s="47"/>
      <c r="L15" s="47"/>
      <c r="M15" s="48"/>
      <c r="N15" s="61"/>
      <c r="O15" s="47"/>
      <c r="P15" s="47"/>
      <c r="Q15" s="47"/>
      <c r="R15" s="48"/>
      <c r="S15" s="46">
        <v>2915.02</v>
      </c>
      <c r="T15" s="47"/>
      <c r="U15" s="47"/>
      <c r="V15" s="47"/>
      <c r="W15" s="48"/>
      <c r="X15" s="69">
        <v>2873.77</v>
      </c>
      <c r="Y15" s="47"/>
      <c r="Z15" s="47"/>
      <c r="AA15" s="47"/>
      <c r="AB15" s="48"/>
      <c r="AC15" s="50"/>
      <c r="AD15" s="47"/>
      <c r="AE15" s="47"/>
      <c r="AF15" s="47"/>
      <c r="AG15" s="48"/>
      <c r="AH15" s="51"/>
      <c r="AI15" s="47"/>
      <c r="AJ15" s="47"/>
      <c r="AK15" s="47"/>
      <c r="AL15" s="48"/>
      <c r="AM15" s="50"/>
      <c r="AN15" s="47"/>
      <c r="AO15" s="47"/>
      <c r="AP15" s="47"/>
      <c r="AQ15" s="48"/>
      <c r="AR15" s="51"/>
      <c r="AS15" s="47"/>
      <c r="AT15" s="47"/>
      <c r="AU15" s="47"/>
      <c r="AV15" s="48"/>
      <c r="AW15" s="53"/>
      <c r="AX15" s="47"/>
      <c r="AY15" s="47"/>
      <c r="AZ15" s="47"/>
      <c r="BA15" s="48"/>
      <c r="BB15" s="54"/>
      <c r="BC15" s="47"/>
      <c r="BD15" s="47"/>
      <c r="BE15" s="47"/>
      <c r="BF15" s="48"/>
      <c r="BG15" s="55"/>
      <c r="BH15" s="47"/>
      <c r="BI15" s="47"/>
      <c r="BJ15" s="47"/>
      <c r="BK15" s="56"/>
    </row>
    <row r="16" ht="21.0" customHeight="1">
      <c r="A16" s="43"/>
      <c r="B16" s="44" t="s">
        <v>57</v>
      </c>
      <c r="C16" s="44" t="s">
        <v>80</v>
      </c>
      <c r="D16" s="45">
        <v>45005.0</v>
      </c>
      <c r="E16" s="45">
        <v>45010.0</v>
      </c>
      <c r="F16" s="44" t="s">
        <v>19</v>
      </c>
      <c r="G16" s="44" t="s">
        <v>26</v>
      </c>
      <c r="H16" s="57" t="s">
        <v>27</v>
      </c>
      <c r="I16" s="50"/>
      <c r="J16" s="47"/>
      <c r="K16" s="47"/>
      <c r="L16" s="47"/>
      <c r="M16" s="48"/>
      <c r="N16" s="61"/>
      <c r="O16" s="47"/>
      <c r="P16" s="47"/>
      <c r="Q16" s="47"/>
      <c r="R16" s="48"/>
      <c r="S16" s="46">
        <v>2378.96</v>
      </c>
      <c r="T16" s="47"/>
      <c r="U16" s="47"/>
      <c r="V16" s="47"/>
      <c r="W16" s="48"/>
      <c r="X16" s="69">
        <v>2685.58</v>
      </c>
      <c r="Y16" s="47"/>
      <c r="Z16" s="47"/>
      <c r="AA16" s="47"/>
      <c r="AB16" s="48"/>
      <c r="AC16" s="50"/>
      <c r="AD16" s="47"/>
      <c r="AE16" s="47"/>
      <c r="AF16" s="47"/>
      <c r="AG16" s="48"/>
      <c r="AH16" s="51"/>
      <c r="AI16" s="47"/>
      <c r="AJ16" s="47"/>
      <c r="AK16" s="47"/>
      <c r="AL16" s="48"/>
      <c r="AM16" s="50"/>
      <c r="AN16" s="47"/>
      <c r="AO16" s="47"/>
      <c r="AP16" s="47"/>
      <c r="AQ16" s="48"/>
      <c r="AR16" s="51"/>
      <c r="AS16" s="47"/>
      <c r="AT16" s="47"/>
      <c r="AU16" s="47"/>
      <c r="AV16" s="48"/>
      <c r="AW16" s="53"/>
      <c r="AX16" s="47"/>
      <c r="AY16" s="47"/>
      <c r="AZ16" s="47"/>
      <c r="BA16" s="48"/>
      <c r="BB16" s="54"/>
      <c r="BC16" s="47"/>
      <c r="BD16" s="47"/>
      <c r="BE16" s="47"/>
      <c r="BF16" s="48"/>
      <c r="BG16" s="55"/>
      <c r="BH16" s="47"/>
      <c r="BI16" s="47"/>
      <c r="BJ16" s="47"/>
      <c r="BK16" s="56"/>
    </row>
    <row r="17" ht="21.0" customHeight="1">
      <c r="A17" s="43"/>
      <c r="B17" s="44" t="s">
        <v>51</v>
      </c>
      <c r="C17" s="44" t="s">
        <v>83</v>
      </c>
      <c r="D17" s="45">
        <v>45004.0</v>
      </c>
      <c r="E17" s="45">
        <v>45009.0</v>
      </c>
      <c r="F17" s="44" t="s">
        <v>19</v>
      </c>
      <c r="G17" s="44" t="s">
        <v>26</v>
      </c>
      <c r="H17" s="57" t="s">
        <v>21</v>
      </c>
      <c r="I17" s="50"/>
      <c r="J17" s="47"/>
      <c r="K17" s="47"/>
      <c r="L17" s="47"/>
      <c r="M17" s="48"/>
      <c r="N17" s="61"/>
      <c r="O17" s="47"/>
      <c r="P17" s="47"/>
      <c r="Q17" s="47"/>
      <c r="R17" s="48"/>
      <c r="S17" s="46">
        <v>3286.17</v>
      </c>
      <c r="T17" s="47"/>
      <c r="U17" s="47"/>
      <c r="V17" s="47"/>
      <c r="W17" s="48"/>
      <c r="X17" s="69">
        <v>3130.33</v>
      </c>
      <c r="Y17" s="47"/>
      <c r="Z17" s="47"/>
      <c r="AA17" s="47"/>
      <c r="AB17" s="48"/>
      <c r="AC17" s="50"/>
      <c r="AD17" s="47"/>
      <c r="AE17" s="47"/>
      <c r="AF17" s="47"/>
      <c r="AG17" s="48"/>
      <c r="AH17" s="51"/>
      <c r="AI17" s="47"/>
      <c r="AJ17" s="47"/>
      <c r="AK17" s="47"/>
      <c r="AL17" s="48"/>
      <c r="AM17" s="50"/>
      <c r="AN17" s="47"/>
      <c r="AO17" s="47"/>
      <c r="AP17" s="47"/>
      <c r="AQ17" s="48"/>
      <c r="AR17" s="51"/>
      <c r="AS17" s="47"/>
      <c r="AT17" s="47"/>
      <c r="AU17" s="47"/>
      <c r="AV17" s="48"/>
      <c r="AW17" s="53"/>
      <c r="AX17" s="47"/>
      <c r="AY17" s="47"/>
      <c r="AZ17" s="47"/>
      <c r="BA17" s="48"/>
      <c r="BB17" s="54"/>
      <c r="BC17" s="47"/>
      <c r="BD17" s="47"/>
      <c r="BE17" s="47"/>
      <c r="BF17" s="48"/>
      <c r="BG17" s="55"/>
      <c r="BH17" s="47"/>
      <c r="BI17" s="47"/>
      <c r="BJ17" s="47"/>
      <c r="BK17" s="56"/>
    </row>
    <row r="18" ht="21.0" customHeight="1">
      <c r="A18" s="43"/>
      <c r="B18" s="44" t="s">
        <v>66</v>
      </c>
      <c r="C18" s="44" t="s">
        <v>89</v>
      </c>
      <c r="D18" s="45">
        <v>45008.0</v>
      </c>
      <c r="E18" s="45">
        <v>45008.0</v>
      </c>
      <c r="F18" s="44" t="s">
        <v>19</v>
      </c>
      <c r="G18" s="44" t="s">
        <v>26</v>
      </c>
      <c r="H18" s="57" t="s">
        <v>60</v>
      </c>
      <c r="I18" s="50"/>
      <c r="J18" s="47"/>
      <c r="K18" s="47"/>
      <c r="L18" s="47"/>
      <c r="M18" s="48"/>
      <c r="N18" s="61"/>
      <c r="O18" s="47"/>
      <c r="P18" s="47"/>
      <c r="Q18" s="47"/>
      <c r="R18" s="48"/>
      <c r="S18" s="46" t="s">
        <v>56</v>
      </c>
      <c r="T18" s="47"/>
      <c r="U18" s="47"/>
      <c r="V18" s="47"/>
      <c r="W18" s="48"/>
      <c r="X18" s="69">
        <v>52.38</v>
      </c>
      <c r="Y18" s="47"/>
      <c r="Z18" s="47"/>
      <c r="AA18" s="47"/>
      <c r="AB18" s="48"/>
      <c r="AC18" s="50"/>
      <c r="AD18" s="47"/>
      <c r="AE18" s="47"/>
      <c r="AF18" s="47"/>
      <c r="AG18" s="48"/>
      <c r="AH18" s="51"/>
      <c r="AI18" s="47"/>
      <c r="AJ18" s="47"/>
      <c r="AK18" s="47"/>
      <c r="AL18" s="48"/>
      <c r="AM18" s="50"/>
      <c r="AN18" s="47"/>
      <c r="AO18" s="47"/>
      <c r="AP18" s="47"/>
      <c r="AQ18" s="48"/>
      <c r="AR18" s="51"/>
      <c r="AS18" s="47"/>
      <c r="AT18" s="47"/>
      <c r="AU18" s="47"/>
      <c r="AV18" s="48"/>
      <c r="AW18" s="53"/>
      <c r="AX18" s="47"/>
      <c r="AY18" s="47"/>
      <c r="AZ18" s="47"/>
      <c r="BA18" s="48"/>
      <c r="BB18" s="54"/>
      <c r="BC18" s="47"/>
      <c r="BD18" s="47"/>
      <c r="BE18" s="47"/>
      <c r="BF18" s="48"/>
      <c r="BG18" s="55"/>
      <c r="BH18" s="47"/>
      <c r="BI18" s="47"/>
      <c r="BJ18" s="47"/>
      <c r="BK18" s="56"/>
    </row>
    <row r="19" ht="21.0" customHeight="1">
      <c r="A19" s="43"/>
      <c r="B19" s="44" t="s">
        <v>51</v>
      </c>
      <c r="C19" s="44" t="s">
        <v>96</v>
      </c>
      <c r="D19" s="45">
        <v>45032.0</v>
      </c>
      <c r="E19" s="45">
        <v>45036.0</v>
      </c>
      <c r="F19" s="44" t="s">
        <v>97</v>
      </c>
      <c r="G19" s="44" t="s">
        <v>26</v>
      </c>
      <c r="H19" s="57" t="s">
        <v>21</v>
      </c>
      <c r="I19" s="50"/>
      <c r="J19" s="47"/>
      <c r="K19" s="47"/>
      <c r="L19" s="47"/>
      <c r="M19" s="48"/>
      <c r="N19" s="61"/>
      <c r="O19" s="47"/>
      <c r="P19" s="47"/>
      <c r="Q19" s="47"/>
      <c r="R19" s="48"/>
      <c r="S19" s="50"/>
      <c r="T19" s="47"/>
      <c r="U19" s="47"/>
      <c r="V19" s="47"/>
      <c r="W19" s="48"/>
      <c r="X19" s="51"/>
      <c r="Y19" s="47"/>
      <c r="Z19" s="47"/>
      <c r="AA19" s="47"/>
      <c r="AB19" s="48"/>
      <c r="AC19" s="46">
        <v>2284.27</v>
      </c>
      <c r="AD19" s="47"/>
      <c r="AE19" s="47"/>
      <c r="AF19" s="47"/>
      <c r="AG19" s="48"/>
      <c r="AH19" s="69">
        <v>2175.83</v>
      </c>
      <c r="AI19" s="47"/>
      <c r="AJ19" s="47"/>
      <c r="AK19" s="47"/>
      <c r="AL19" s="48"/>
      <c r="AM19" s="50"/>
      <c r="AN19" s="47"/>
      <c r="AO19" s="47"/>
      <c r="AP19" s="47"/>
      <c r="AQ19" s="48"/>
      <c r="AR19" s="51"/>
      <c r="AS19" s="47"/>
      <c r="AT19" s="47"/>
      <c r="AU19" s="47"/>
      <c r="AV19" s="48"/>
      <c r="AW19" s="53"/>
      <c r="AX19" s="47"/>
      <c r="AY19" s="47"/>
      <c r="AZ19" s="47"/>
      <c r="BA19" s="48"/>
      <c r="BB19" s="54"/>
      <c r="BC19" s="47"/>
      <c r="BD19" s="47"/>
      <c r="BE19" s="47"/>
      <c r="BF19" s="48"/>
      <c r="BG19" s="55"/>
      <c r="BH19" s="47"/>
      <c r="BI19" s="47"/>
      <c r="BJ19" s="47"/>
      <c r="BK19" s="56"/>
    </row>
    <row r="20" ht="21.0" customHeight="1">
      <c r="A20" s="43"/>
      <c r="B20" s="44" t="s">
        <v>57</v>
      </c>
      <c r="C20" s="44" t="s">
        <v>96</v>
      </c>
      <c r="D20" s="45">
        <v>45033.0</v>
      </c>
      <c r="E20" s="45">
        <v>45038.0</v>
      </c>
      <c r="F20" s="44" t="s">
        <v>97</v>
      </c>
      <c r="G20" s="44" t="s">
        <v>26</v>
      </c>
      <c r="H20" s="57" t="s">
        <v>21</v>
      </c>
      <c r="I20" s="50"/>
      <c r="J20" s="47"/>
      <c r="K20" s="47"/>
      <c r="L20" s="47"/>
      <c r="M20" s="48"/>
      <c r="N20" s="61"/>
      <c r="O20" s="47"/>
      <c r="P20" s="47"/>
      <c r="Q20" s="47"/>
      <c r="R20" s="48"/>
      <c r="S20" s="50"/>
      <c r="T20" s="47"/>
      <c r="U20" s="47"/>
      <c r="V20" s="47"/>
      <c r="W20" s="48"/>
      <c r="X20" s="51"/>
      <c r="Y20" s="47"/>
      <c r="Z20" s="47"/>
      <c r="AA20" s="47"/>
      <c r="AB20" s="48"/>
      <c r="AC20" s="46">
        <v>1214.68</v>
      </c>
      <c r="AD20" s="47"/>
      <c r="AE20" s="47"/>
      <c r="AF20" s="47"/>
      <c r="AG20" s="48"/>
      <c r="AH20" s="69">
        <v>1288.45</v>
      </c>
      <c r="AI20" s="47"/>
      <c r="AJ20" s="47"/>
      <c r="AK20" s="47"/>
      <c r="AL20" s="48"/>
      <c r="AM20" s="50"/>
      <c r="AN20" s="47"/>
      <c r="AO20" s="47"/>
      <c r="AP20" s="47"/>
      <c r="AQ20" s="48"/>
      <c r="AR20" s="51"/>
      <c r="AS20" s="47"/>
      <c r="AT20" s="47"/>
      <c r="AU20" s="47"/>
      <c r="AV20" s="48"/>
      <c r="AW20" s="53"/>
      <c r="AX20" s="47"/>
      <c r="AY20" s="47"/>
      <c r="AZ20" s="47"/>
      <c r="BA20" s="48"/>
      <c r="BB20" s="54"/>
      <c r="BC20" s="47"/>
      <c r="BD20" s="47"/>
      <c r="BE20" s="47"/>
      <c r="BF20" s="48"/>
      <c r="BG20" s="55"/>
      <c r="BH20" s="47"/>
      <c r="BI20" s="47"/>
      <c r="BJ20" s="47"/>
      <c r="BK20" s="56"/>
    </row>
    <row r="21" ht="21.0" customHeight="1">
      <c r="A21" s="43"/>
      <c r="B21" s="44" t="s">
        <v>51</v>
      </c>
      <c r="C21" s="44" t="s">
        <v>102</v>
      </c>
      <c r="D21" s="45">
        <v>45046.0</v>
      </c>
      <c r="E21" s="45">
        <v>45051.0</v>
      </c>
      <c r="F21" s="44" t="s">
        <v>50</v>
      </c>
      <c r="G21" s="44" t="s">
        <v>26</v>
      </c>
      <c r="H21" s="57" t="s">
        <v>21</v>
      </c>
      <c r="I21" s="50"/>
      <c r="J21" s="47"/>
      <c r="K21" s="47"/>
      <c r="L21" s="47"/>
      <c r="M21" s="48"/>
      <c r="N21" s="61"/>
      <c r="O21" s="47"/>
      <c r="P21" s="47"/>
      <c r="Q21" s="47"/>
      <c r="R21" s="48"/>
      <c r="S21" s="50"/>
      <c r="T21" s="47"/>
      <c r="U21" s="47"/>
      <c r="V21" s="47"/>
      <c r="W21" s="48"/>
      <c r="X21" s="51"/>
      <c r="Y21" s="47"/>
      <c r="Z21" s="47"/>
      <c r="AA21" s="47"/>
      <c r="AB21" s="48"/>
      <c r="AC21" s="46">
        <v>1843.11</v>
      </c>
      <c r="AD21" s="47"/>
      <c r="AE21" s="47"/>
      <c r="AF21" s="47"/>
      <c r="AG21" s="48"/>
      <c r="AH21" s="69">
        <v>1843.11</v>
      </c>
      <c r="AI21" s="47"/>
      <c r="AJ21" s="47"/>
      <c r="AK21" s="47"/>
      <c r="AL21" s="48"/>
      <c r="AM21" s="50"/>
      <c r="AN21" s="47"/>
      <c r="AO21" s="47"/>
      <c r="AP21" s="47"/>
      <c r="AQ21" s="48"/>
      <c r="AR21" s="51"/>
      <c r="AS21" s="47"/>
      <c r="AT21" s="47"/>
      <c r="AU21" s="47"/>
      <c r="AV21" s="48"/>
      <c r="AW21" s="53"/>
      <c r="AX21" s="47"/>
      <c r="AY21" s="47"/>
      <c r="AZ21" s="47"/>
      <c r="BA21" s="48"/>
      <c r="BB21" s="54"/>
      <c r="BC21" s="47"/>
      <c r="BD21" s="47"/>
      <c r="BE21" s="47"/>
      <c r="BF21" s="48"/>
      <c r="BG21" s="55"/>
      <c r="BH21" s="47"/>
      <c r="BI21" s="47"/>
      <c r="BJ21" s="47"/>
      <c r="BK21" s="56"/>
    </row>
    <row r="22" ht="21.0" customHeight="1">
      <c r="A22" s="43"/>
      <c r="B22" s="44" t="s">
        <v>51</v>
      </c>
      <c r="C22" s="44" t="s">
        <v>106</v>
      </c>
      <c r="D22" s="45">
        <v>45050.0</v>
      </c>
      <c r="E22" s="45">
        <v>45051.0</v>
      </c>
      <c r="F22" s="44" t="s">
        <v>50</v>
      </c>
      <c r="G22" s="44" t="s">
        <v>26</v>
      </c>
      <c r="H22" s="57" t="s">
        <v>27</v>
      </c>
      <c r="I22" s="50"/>
      <c r="J22" s="47"/>
      <c r="K22" s="47"/>
      <c r="L22" s="47"/>
      <c r="M22" s="48"/>
      <c r="N22" s="61"/>
      <c r="O22" s="47"/>
      <c r="P22" s="47"/>
      <c r="Q22" s="47"/>
      <c r="R22" s="48"/>
      <c r="S22" s="50"/>
      <c r="T22" s="47"/>
      <c r="U22" s="47"/>
      <c r="V22" s="47"/>
      <c r="W22" s="48"/>
      <c r="X22" s="51"/>
      <c r="Y22" s="47"/>
      <c r="Z22" s="47"/>
      <c r="AA22" s="47"/>
      <c r="AB22" s="48"/>
      <c r="AC22" s="46">
        <v>267.22</v>
      </c>
      <c r="AD22" s="47"/>
      <c r="AE22" s="47"/>
      <c r="AF22" s="47"/>
      <c r="AG22" s="48"/>
      <c r="AH22" s="69">
        <v>267.22</v>
      </c>
      <c r="AI22" s="47"/>
      <c r="AJ22" s="47"/>
      <c r="AK22" s="47"/>
      <c r="AL22" s="48"/>
      <c r="AM22" s="50"/>
      <c r="AN22" s="47"/>
      <c r="AO22" s="47"/>
      <c r="AP22" s="47"/>
      <c r="AQ22" s="48"/>
      <c r="AR22" s="51"/>
      <c r="AS22" s="47"/>
      <c r="AT22" s="47"/>
      <c r="AU22" s="47"/>
      <c r="AV22" s="48"/>
      <c r="AW22" s="53"/>
      <c r="AX22" s="47"/>
      <c r="AY22" s="47"/>
      <c r="AZ22" s="47"/>
      <c r="BA22" s="48"/>
      <c r="BB22" s="54"/>
      <c r="BC22" s="47"/>
      <c r="BD22" s="47"/>
      <c r="BE22" s="47"/>
      <c r="BF22" s="48"/>
      <c r="BG22" s="55"/>
      <c r="BH22" s="47"/>
      <c r="BI22" s="47"/>
      <c r="BJ22" s="47"/>
      <c r="BK22" s="56"/>
    </row>
    <row r="23" ht="21.0" customHeight="1">
      <c r="A23" s="43"/>
      <c r="B23" s="44" t="s">
        <v>57</v>
      </c>
      <c r="C23" s="44" t="s">
        <v>102</v>
      </c>
      <c r="D23" s="45">
        <v>45047.0</v>
      </c>
      <c r="E23" s="45">
        <v>45051.0</v>
      </c>
      <c r="F23" s="44" t="s">
        <v>50</v>
      </c>
      <c r="G23" s="44" t="s">
        <v>26</v>
      </c>
      <c r="H23" s="57" t="s">
        <v>21</v>
      </c>
      <c r="I23" s="50"/>
      <c r="J23" s="47"/>
      <c r="K23" s="47"/>
      <c r="L23" s="47"/>
      <c r="M23" s="48"/>
      <c r="N23" s="61"/>
      <c r="O23" s="47"/>
      <c r="P23" s="47"/>
      <c r="Q23" s="47"/>
      <c r="R23" s="48"/>
      <c r="S23" s="50"/>
      <c r="T23" s="47"/>
      <c r="U23" s="47"/>
      <c r="V23" s="47"/>
      <c r="W23" s="48"/>
      <c r="X23" s="51"/>
      <c r="Y23" s="47"/>
      <c r="Z23" s="47"/>
      <c r="AA23" s="47"/>
      <c r="AB23" s="48"/>
      <c r="AC23" s="46">
        <v>1261.38</v>
      </c>
      <c r="AD23" s="47"/>
      <c r="AE23" s="47"/>
      <c r="AF23" s="47"/>
      <c r="AG23" s="48"/>
      <c r="AH23" s="69">
        <v>1085.11</v>
      </c>
      <c r="AI23" s="47"/>
      <c r="AJ23" s="47"/>
      <c r="AK23" s="47"/>
      <c r="AL23" s="48"/>
      <c r="AM23" s="50"/>
      <c r="AN23" s="47"/>
      <c r="AO23" s="47"/>
      <c r="AP23" s="47"/>
      <c r="AQ23" s="48"/>
      <c r="AR23" s="51"/>
      <c r="AS23" s="47"/>
      <c r="AT23" s="47"/>
      <c r="AU23" s="47"/>
      <c r="AV23" s="48"/>
      <c r="AW23" s="53"/>
      <c r="AX23" s="47"/>
      <c r="AY23" s="47"/>
      <c r="AZ23" s="47"/>
      <c r="BA23" s="48"/>
      <c r="BB23" s="54"/>
      <c r="BC23" s="47"/>
      <c r="BD23" s="47"/>
      <c r="BE23" s="47"/>
      <c r="BF23" s="48"/>
      <c r="BG23" s="55"/>
      <c r="BH23" s="47"/>
      <c r="BI23" s="47"/>
      <c r="BJ23" s="47"/>
      <c r="BK23" s="56"/>
    </row>
    <row r="24" ht="21.0" customHeight="1">
      <c r="A24" s="43"/>
      <c r="B24" s="44" t="s">
        <v>57</v>
      </c>
      <c r="C24" s="44" t="s">
        <v>119</v>
      </c>
      <c r="D24" s="45">
        <v>45138.0</v>
      </c>
      <c r="E24" s="45">
        <v>45143.0</v>
      </c>
      <c r="F24" s="44" t="s">
        <v>120</v>
      </c>
      <c r="G24" s="44" t="s">
        <v>64</v>
      </c>
      <c r="H24" s="57" t="s">
        <v>21</v>
      </c>
      <c r="I24" s="50"/>
      <c r="J24" s="47"/>
      <c r="K24" s="47"/>
      <c r="L24" s="47"/>
      <c r="M24" s="48"/>
      <c r="N24" s="61"/>
      <c r="O24" s="47"/>
      <c r="P24" s="47"/>
      <c r="Q24" s="47"/>
      <c r="R24" s="48"/>
      <c r="S24" s="50"/>
      <c r="T24" s="47"/>
      <c r="U24" s="47"/>
      <c r="V24" s="47"/>
      <c r="W24" s="48"/>
      <c r="X24" s="51"/>
      <c r="Y24" s="47"/>
      <c r="Z24" s="47"/>
      <c r="AA24" s="47"/>
      <c r="AB24" s="48"/>
      <c r="AC24" s="50"/>
      <c r="AD24" s="47"/>
      <c r="AE24" s="47"/>
      <c r="AF24" s="47"/>
      <c r="AG24" s="48"/>
      <c r="AH24" s="51"/>
      <c r="AI24" s="47"/>
      <c r="AJ24" s="47"/>
      <c r="AK24" s="47"/>
      <c r="AL24" s="48"/>
      <c r="AM24" s="46">
        <v>1700.77</v>
      </c>
      <c r="AN24" s="47"/>
      <c r="AO24" s="47"/>
      <c r="AP24" s="47"/>
      <c r="AQ24" s="48"/>
      <c r="AR24" s="69">
        <v>1639.0</v>
      </c>
      <c r="AS24" s="47"/>
      <c r="AT24" s="47"/>
      <c r="AU24" s="47"/>
      <c r="AV24" s="48"/>
      <c r="AW24" s="53"/>
      <c r="AX24" s="47"/>
      <c r="AY24" s="47"/>
      <c r="AZ24" s="47"/>
      <c r="BA24" s="48"/>
      <c r="BB24" s="54"/>
      <c r="BC24" s="47"/>
      <c r="BD24" s="47"/>
      <c r="BE24" s="47"/>
      <c r="BF24" s="48"/>
      <c r="BG24" s="55"/>
      <c r="BH24" s="47"/>
      <c r="BI24" s="47"/>
      <c r="BJ24" s="47"/>
      <c r="BK24" s="56"/>
    </row>
    <row r="25" ht="21.0" customHeight="1">
      <c r="A25" s="43"/>
      <c r="B25" s="44" t="s">
        <v>51</v>
      </c>
      <c r="C25" s="44" t="s">
        <v>77</v>
      </c>
      <c r="D25" s="45">
        <v>45122.0</v>
      </c>
      <c r="E25" s="45">
        <v>45136.0</v>
      </c>
      <c r="F25" s="44" t="s">
        <v>47</v>
      </c>
      <c r="G25" s="44" t="s">
        <v>59</v>
      </c>
      <c r="H25" s="57" t="s">
        <v>49</v>
      </c>
      <c r="I25" s="50"/>
      <c r="J25" s="47"/>
      <c r="K25" s="47"/>
      <c r="L25" s="47"/>
      <c r="M25" s="48"/>
      <c r="N25" s="61"/>
      <c r="O25" s="47"/>
      <c r="P25" s="47"/>
      <c r="Q25" s="47"/>
      <c r="R25" s="48"/>
      <c r="S25" s="50"/>
      <c r="T25" s="47"/>
      <c r="U25" s="47"/>
      <c r="V25" s="47"/>
      <c r="W25" s="48"/>
      <c r="X25" s="51"/>
      <c r="Y25" s="47"/>
      <c r="Z25" s="47"/>
      <c r="AA25" s="47"/>
      <c r="AB25" s="48"/>
      <c r="AC25" s="50"/>
      <c r="AD25" s="47"/>
      <c r="AE25" s="47"/>
      <c r="AF25" s="47"/>
      <c r="AG25" s="48"/>
      <c r="AH25" s="51"/>
      <c r="AI25" s="47"/>
      <c r="AJ25" s="47"/>
      <c r="AK25" s="47"/>
      <c r="AL25" s="48"/>
      <c r="AM25" s="46">
        <v>7216.31</v>
      </c>
      <c r="AN25" s="47"/>
      <c r="AO25" s="47"/>
      <c r="AP25" s="47"/>
      <c r="AQ25" s="48"/>
      <c r="AR25" s="69">
        <v>7897.78</v>
      </c>
      <c r="AS25" s="47"/>
      <c r="AT25" s="47"/>
      <c r="AU25" s="47"/>
      <c r="AV25" s="48"/>
      <c r="AW25" s="53"/>
      <c r="AX25" s="47"/>
      <c r="AY25" s="47"/>
      <c r="AZ25" s="47"/>
      <c r="BA25" s="48"/>
      <c r="BB25" s="54"/>
      <c r="BC25" s="47"/>
      <c r="BD25" s="47"/>
      <c r="BE25" s="47"/>
      <c r="BF25" s="48"/>
      <c r="BG25" s="55"/>
      <c r="BH25" s="47"/>
      <c r="BI25" s="47"/>
      <c r="BJ25" s="47"/>
      <c r="BK25" s="56"/>
    </row>
    <row r="26" ht="21.0" customHeight="1">
      <c r="A26" s="43"/>
      <c r="B26" s="44" t="s">
        <v>57</v>
      </c>
      <c r="C26" s="44" t="s">
        <v>122</v>
      </c>
      <c r="D26" s="45">
        <v>45165.0</v>
      </c>
      <c r="E26" s="45">
        <v>45172.0</v>
      </c>
      <c r="F26" s="44" t="s">
        <v>123</v>
      </c>
      <c r="G26" s="44" t="s">
        <v>84</v>
      </c>
      <c r="H26" s="57" t="s">
        <v>124</v>
      </c>
      <c r="I26" s="50"/>
      <c r="J26" s="47"/>
      <c r="K26" s="47"/>
      <c r="L26" s="47"/>
      <c r="M26" s="48"/>
      <c r="N26" s="61"/>
      <c r="O26" s="47"/>
      <c r="P26" s="47"/>
      <c r="Q26" s="47"/>
      <c r="R26" s="48"/>
      <c r="S26" s="50"/>
      <c r="T26" s="47"/>
      <c r="U26" s="47"/>
      <c r="V26" s="47"/>
      <c r="W26" s="48"/>
      <c r="X26" s="51"/>
      <c r="Y26" s="47"/>
      <c r="Z26" s="47"/>
      <c r="AA26" s="47"/>
      <c r="AB26" s="48"/>
      <c r="AC26" s="50"/>
      <c r="AD26" s="47"/>
      <c r="AE26" s="47"/>
      <c r="AF26" s="47"/>
      <c r="AG26" s="48"/>
      <c r="AH26" s="51"/>
      <c r="AI26" s="47"/>
      <c r="AJ26" s="47"/>
      <c r="AK26" s="47"/>
      <c r="AL26" s="48"/>
      <c r="AM26" s="46">
        <v>2000.37</v>
      </c>
      <c r="AN26" s="47"/>
      <c r="AO26" s="47"/>
      <c r="AP26" s="47"/>
      <c r="AQ26" s="48"/>
      <c r="AR26" s="69">
        <v>1936.08</v>
      </c>
      <c r="AS26" s="47"/>
      <c r="AT26" s="47"/>
      <c r="AU26" s="47"/>
      <c r="AV26" s="48"/>
      <c r="AW26" s="53"/>
      <c r="AX26" s="47"/>
      <c r="AY26" s="47"/>
      <c r="AZ26" s="47"/>
      <c r="BA26" s="48"/>
      <c r="BB26" s="54"/>
      <c r="BC26" s="47"/>
      <c r="BD26" s="47"/>
      <c r="BE26" s="47"/>
      <c r="BF26" s="48"/>
      <c r="BG26" s="55"/>
      <c r="BH26" s="47"/>
      <c r="BI26" s="47"/>
      <c r="BJ26" s="47"/>
      <c r="BK26" s="56"/>
    </row>
    <row r="27" ht="21.0" customHeight="1">
      <c r="A27" s="43"/>
      <c r="B27" s="44" t="s">
        <v>51</v>
      </c>
      <c r="C27" s="44" t="s">
        <v>126</v>
      </c>
      <c r="D27" s="45">
        <v>45173.0</v>
      </c>
      <c r="E27" s="45">
        <v>45176.0</v>
      </c>
      <c r="F27" s="44" t="s">
        <v>127</v>
      </c>
      <c r="G27" s="44" t="s">
        <v>26</v>
      </c>
      <c r="H27" s="57" t="s">
        <v>21</v>
      </c>
      <c r="I27" s="50"/>
      <c r="J27" s="47"/>
      <c r="K27" s="47"/>
      <c r="L27" s="47"/>
      <c r="M27" s="48"/>
      <c r="N27" s="61"/>
      <c r="O27" s="47"/>
      <c r="P27" s="47"/>
      <c r="Q27" s="47"/>
      <c r="R27" s="48"/>
      <c r="S27" s="91"/>
      <c r="T27" s="47"/>
      <c r="U27" s="47"/>
      <c r="V27" s="47"/>
      <c r="W27" s="48"/>
      <c r="X27" s="51"/>
      <c r="Y27" s="47"/>
      <c r="Z27" s="47"/>
      <c r="AA27" s="47"/>
      <c r="AB27" s="48"/>
      <c r="AC27" s="91"/>
      <c r="AD27" s="47"/>
      <c r="AE27" s="47"/>
      <c r="AF27" s="47"/>
      <c r="AG27" s="48"/>
      <c r="AH27" s="51"/>
      <c r="AI27" s="47"/>
      <c r="AJ27" s="47"/>
      <c r="AK27" s="47"/>
      <c r="AL27" s="48"/>
      <c r="AM27" s="106">
        <v>1898.07</v>
      </c>
      <c r="AN27" s="47"/>
      <c r="AO27" s="47"/>
      <c r="AP27" s="47"/>
      <c r="AQ27" s="48"/>
      <c r="AR27" s="69">
        <v>1818.39</v>
      </c>
      <c r="AS27" s="47"/>
      <c r="AT27" s="47"/>
      <c r="AU27" s="47"/>
      <c r="AV27" s="48"/>
      <c r="AW27" s="53"/>
      <c r="AX27" s="47"/>
      <c r="AY27" s="47"/>
      <c r="AZ27" s="47"/>
      <c r="BA27" s="48"/>
      <c r="BB27" s="54"/>
      <c r="BC27" s="47"/>
      <c r="BD27" s="47"/>
      <c r="BE27" s="47"/>
      <c r="BF27" s="48"/>
      <c r="BG27" s="55"/>
      <c r="BH27" s="47"/>
      <c r="BI27" s="47"/>
      <c r="BJ27" s="47"/>
      <c r="BK27" s="56"/>
    </row>
    <row r="28" ht="21.0" customHeight="1">
      <c r="A28" s="43"/>
      <c r="B28" s="44" t="s">
        <v>57</v>
      </c>
      <c r="C28" s="44" t="s">
        <v>131</v>
      </c>
      <c r="D28" s="45">
        <v>45187.0</v>
      </c>
      <c r="E28" s="45">
        <v>45195.0</v>
      </c>
      <c r="F28" s="44" t="s">
        <v>88</v>
      </c>
      <c r="G28" s="44" t="s">
        <v>26</v>
      </c>
      <c r="H28" s="57" t="s">
        <v>21</v>
      </c>
      <c r="I28" s="50"/>
      <c r="J28" s="47"/>
      <c r="K28" s="47"/>
      <c r="L28" s="47"/>
      <c r="M28" s="48"/>
      <c r="N28" s="61"/>
      <c r="O28" s="47"/>
      <c r="P28" s="47"/>
      <c r="Q28" s="47"/>
      <c r="R28" s="48"/>
      <c r="S28" s="91"/>
      <c r="T28" s="47"/>
      <c r="U28" s="47"/>
      <c r="V28" s="47"/>
      <c r="W28" s="48"/>
      <c r="X28" s="51"/>
      <c r="Y28" s="47"/>
      <c r="Z28" s="47"/>
      <c r="AA28" s="47"/>
      <c r="AB28" s="48"/>
      <c r="AC28" s="91"/>
      <c r="AD28" s="47"/>
      <c r="AE28" s="47"/>
      <c r="AF28" s="47"/>
      <c r="AG28" s="48"/>
      <c r="AH28" s="51"/>
      <c r="AI28" s="47"/>
      <c r="AJ28" s="47"/>
      <c r="AK28" s="47"/>
      <c r="AL28" s="48"/>
      <c r="AM28" s="106">
        <v>2239.47</v>
      </c>
      <c r="AN28" s="47"/>
      <c r="AO28" s="47"/>
      <c r="AP28" s="47"/>
      <c r="AQ28" s="48"/>
      <c r="AR28" s="69">
        <v>2145.19</v>
      </c>
      <c r="AS28" s="47"/>
      <c r="AT28" s="47"/>
      <c r="AU28" s="47"/>
      <c r="AV28" s="48"/>
      <c r="AW28" s="53"/>
      <c r="AX28" s="47"/>
      <c r="AY28" s="47"/>
      <c r="AZ28" s="47"/>
      <c r="BA28" s="48"/>
      <c r="BB28" s="54"/>
      <c r="BC28" s="47"/>
      <c r="BD28" s="47"/>
      <c r="BE28" s="47"/>
      <c r="BF28" s="48"/>
      <c r="BG28" s="55"/>
      <c r="BH28" s="47"/>
      <c r="BI28" s="47"/>
      <c r="BJ28" s="47"/>
      <c r="BK28" s="56"/>
    </row>
    <row r="29" ht="21.0" customHeight="1">
      <c r="A29" s="43"/>
      <c r="B29" s="44" t="s">
        <v>70</v>
      </c>
      <c r="C29" s="44" t="s">
        <v>134</v>
      </c>
      <c r="D29" s="45">
        <v>45139.0</v>
      </c>
      <c r="E29" s="45">
        <v>45145.0</v>
      </c>
      <c r="F29" s="44" t="s">
        <v>135</v>
      </c>
      <c r="G29" s="44" t="s">
        <v>64</v>
      </c>
      <c r="H29" s="57" t="s">
        <v>60</v>
      </c>
      <c r="I29" s="50"/>
      <c r="J29" s="47"/>
      <c r="K29" s="47"/>
      <c r="L29" s="47"/>
      <c r="M29" s="48"/>
      <c r="N29" s="61"/>
      <c r="O29" s="47"/>
      <c r="P29" s="47"/>
      <c r="Q29" s="47"/>
      <c r="R29" s="48"/>
      <c r="S29" s="50"/>
      <c r="T29" s="47"/>
      <c r="U29" s="47"/>
      <c r="V29" s="47"/>
      <c r="W29" s="48"/>
      <c r="X29" s="51"/>
      <c r="Y29" s="47"/>
      <c r="Z29" s="47"/>
      <c r="AA29" s="47"/>
      <c r="AB29" s="48"/>
      <c r="AC29" s="50"/>
      <c r="AD29" s="47"/>
      <c r="AE29" s="47"/>
      <c r="AF29" s="47"/>
      <c r="AG29" s="48"/>
      <c r="AH29" s="51"/>
      <c r="AI29" s="47"/>
      <c r="AJ29" s="47"/>
      <c r="AK29" s="47"/>
      <c r="AL29" s="48"/>
      <c r="AM29" s="46" t="s">
        <v>56</v>
      </c>
      <c r="AN29" s="47"/>
      <c r="AO29" s="47"/>
      <c r="AP29" s="47"/>
      <c r="AQ29" s="48"/>
      <c r="AR29" s="69">
        <v>147.68</v>
      </c>
      <c r="AS29" s="47"/>
      <c r="AT29" s="47"/>
      <c r="AU29" s="47"/>
      <c r="AV29" s="48"/>
      <c r="AW29" s="53"/>
      <c r="AX29" s="47"/>
      <c r="AY29" s="47"/>
      <c r="AZ29" s="47"/>
      <c r="BA29" s="48"/>
      <c r="BB29" s="54"/>
      <c r="BC29" s="47"/>
      <c r="BD29" s="47"/>
      <c r="BE29" s="47"/>
      <c r="BF29" s="48"/>
      <c r="BG29" s="55"/>
      <c r="BH29" s="47"/>
      <c r="BI29" s="47"/>
      <c r="BJ29" s="47"/>
      <c r="BK29" s="56"/>
    </row>
    <row r="30" ht="21.0" customHeight="1">
      <c r="A30" s="43"/>
      <c r="B30" s="44" t="s">
        <v>66</v>
      </c>
      <c r="C30" s="44" t="s">
        <v>134</v>
      </c>
      <c r="D30" s="45">
        <v>45139.0</v>
      </c>
      <c r="E30" s="45">
        <v>45145.0</v>
      </c>
      <c r="F30" s="44" t="s">
        <v>135</v>
      </c>
      <c r="G30" s="44" t="s">
        <v>64</v>
      </c>
      <c r="H30" s="57" t="s">
        <v>60</v>
      </c>
      <c r="I30" s="50"/>
      <c r="J30" s="47"/>
      <c r="K30" s="47"/>
      <c r="L30" s="47"/>
      <c r="M30" s="48"/>
      <c r="N30" s="61"/>
      <c r="O30" s="47"/>
      <c r="P30" s="47"/>
      <c r="Q30" s="47"/>
      <c r="R30" s="48"/>
      <c r="S30" s="50"/>
      <c r="T30" s="47"/>
      <c r="U30" s="47"/>
      <c r="V30" s="47"/>
      <c r="W30" s="48"/>
      <c r="X30" s="51"/>
      <c r="Y30" s="47"/>
      <c r="Z30" s="47"/>
      <c r="AA30" s="47"/>
      <c r="AB30" s="48"/>
      <c r="AC30" s="50"/>
      <c r="AD30" s="47"/>
      <c r="AE30" s="47"/>
      <c r="AF30" s="47"/>
      <c r="AG30" s="48"/>
      <c r="AH30" s="51"/>
      <c r="AI30" s="47"/>
      <c r="AJ30" s="47"/>
      <c r="AK30" s="47"/>
      <c r="AL30" s="48"/>
      <c r="AM30" s="46" t="s">
        <v>56</v>
      </c>
      <c r="AN30" s="47"/>
      <c r="AO30" s="47"/>
      <c r="AP30" s="47"/>
      <c r="AQ30" s="48"/>
      <c r="AR30" s="69">
        <v>184.25</v>
      </c>
      <c r="AS30" s="47"/>
      <c r="AT30" s="47"/>
      <c r="AU30" s="47"/>
      <c r="AV30" s="48"/>
      <c r="AW30" s="53"/>
      <c r="AX30" s="47"/>
      <c r="AY30" s="47"/>
      <c r="AZ30" s="47"/>
      <c r="BA30" s="48"/>
      <c r="BB30" s="54"/>
      <c r="BC30" s="47"/>
      <c r="BD30" s="47"/>
      <c r="BE30" s="47"/>
      <c r="BF30" s="48"/>
      <c r="BG30" s="55"/>
      <c r="BH30" s="47"/>
      <c r="BI30" s="47"/>
      <c r="BJ30" s="47"/>
      <c r="BK30" s="56"/>
    </row>
    <row r="31" ht="21.0" customHeight="1">
      <c r="A31" s="115"/>
      <c r="B31" s="44" t="s">
        <v>57</v>
      </c>
      <c r="C31" s="44" t="s">
        <v>136</v>
      </c>
      <c r="D31" s="45">
        <v>44972.0</v>
      </c>
      <c r="E31" s="45">
        <v>45077.0</v>
      </c>
      <c r="F31" s="44" t="s">
        <v>137</v>
      </c>
      <c r="G31" s="44" t="s">
        <v>115</v>
      </c>
      <c r="H31" s="57" t="s">
        <v>60</v>
      </c>
      <c r="I31" s="50"/>
      <c r="J31" s="47"/>
      <c r="K31" s="47"/>
      <c r="L31" s="47"/>
      <c r="M31" s="48"/>
      <c r="N31" s="61"/>
      <c r="O31" s="47"/>
      <c r="P31" s="47"/>
      <c r="Q31" s="47"/>
      <c r="R31" s="48"/>
      <c r="S31" s="50"/>
      <c r="T31" s="47"/>
      <c r="U31" s="47"/>
      <c r="V31" s="47"/>
      <c r="W31" s="48"/>
      <c r="X31" s="52"/>
      <c r="Y31" s="47"/>
      <c r="Z31" s="47"/>
      <c r="AA31" s="47"/>
      <c r="AB31" s="48"/>
      <c r="AC31" s="50"/>
      <c r="AD31" s="47"/>
      <c r="AE31" s="47"/>
      <c r="AF31" s="47"/>
      <c r="AG31" s="48"/>
      <c r="AH31" s="52"/>
      <c r="AI31" s="47"/>
      <c r="AJ31" s="47"/>
      <c r="AK31" s="47"/>
      <c r="AL31" s="48"/>
      <c r="AM31" s="46" t="s">
        <v>56</v>
      </c>
      <c r="AN31" s="47"/>
      <c r="AO31" s="47"/>
      <c r="AP31" s="47"/>
      <c r="AQ31" s="48"/>
      <c r="AR31" s="69">
        <v>94.15</v>
      </c>
      <c r="AS31" s="47"/>
      <c r="AT31" s="47"/>
      <c r="AU31" s="47"/>
      <c r="AV31" s="48"/>
      <c r="AW31" s="53"/>
      <c r="AX31" s="47"/>
      <c r="AY31" s="47"/>
      <c r="AZ31" s="47"/>
      <c r="BA31" s="48"/>
      <c r="BB31" s="116"/>
      <c r="BF31" s="117"/>
      <c r="BG31" s="116"/>
      <c r="BK31" s="118"/>
    </row>
    <row r="32" ht="21.0" customHeight="1">
      <c r="A32" s="33"/>
      <c r="B32" s="63" t="s">
        <v>139</v>
      </c>
      <c r="C32" s="63" t="s">
        <v>12</v>
      </c>
      <c r="D32" s="64" t="s">
        <v>13</v>
      </c>
      <c r="E32" s="36"/>
      <c r="F32" s="63" t="s">
        <v>14</v>
      </c>
      <c r="G32" s="63" t="s">
        <v>15</v>
      </c>
      <c r="H32" s="63" t="s">
        <v>16</v>
      </c>
      <c r="I32" s="65"/>
      <c r="J32" s="36"/>
      <c r="K32" s="36"/>
      <c r="L32" s="36"/>
      <c r="M32" s="36"/>
      <c r="N32" s="66"/>
      <c r="O32" s="36"/>
      <c r="P32" s="36"/>
      <c r="Q32" s="36"/>
      <c r="R32" s="36"/>
      <c r="S32" s="65"/>
      <c r="T32" s="36"/>
      <c r="U32" s="36"/>
      <c r="V32" s="36"/>
      <c r="W32" s="36"/>
      <c r="X32" s="66"/>
      <c r="Y32" s="36"/>
      <c r="Z32" s="36"/>
      <c r="AA32" s="36"/>
      <c r="AB32" s="36"/>
      <c r="AC32" s="66"/>
      <c r="AD32" s="36"/>
      <c r="AE32" s="36"/>
      <c r="AF32" s="36"/>
      <c r="AG32" s="36"/>
      <c r="AH32" s="66"/>
      <c r="AI32" s="36"/>
      <c r="AJ32" s="36"/>
      <c r="AK32" s="36"/>
      <c r="AL32" s="36"/>
      <c r="AM32" s="66"/>
      <c r="AN32" s="36"/>
      <c r="AO32" s="36"/>
      <c r="AP32" s="36"/>
      <c r="AQ32" s="36"/>
      <c r="AR32" s="66"/>
      <c r="AS32" s="36"/>
      <c r="AT32" s="36"/>
      <c r="AU32" s="36"/>
      <c r="AV32" s="36"/>
      <c r="AW32" s="67"/>
      <c r="AX32" s="36"/>
      <c r="AY32" s="36"/>
      <c r="AZ32" s="36"/>
      <c r="BA32" s="36"/>
      <c r="BB32" s="68"/>
      <c r="BC32" s="36"/>
      <c r="BD32" s="36"/>
      <c r="BE32" s="36"/>
      <c r="BF32" s="36"/>
      <c r="BG32" s="68"/>
      <c r="BH32" s="36"/>
      <c r="BI32" s="36"/>
      <c r="BJ32" s="36"/>
      <c r="BK32" s="42"/>
    </row>
    <row r="33" ht="21.0" customHeight="1">
      <c r="A33" s="43"/>
      <c r="B33" s="44" t="s">
        <v>144</v>
      </c>
      <c r="C33" s="44" t="s">
        <v>145</v>
      </c>
      <c r="D33" s="45">
        <v>44815.0</v>
      </c>
      <c r="E33" s="45">
        <v>44820.0</v>
      </c>
      <c r="F33" s="44" t="s">
        <v>147</v>
      </c>
      <c r="G33" s="44" t="s">
        <v>59</v>
      </c>
      <c r="H33" s="44" t="s">
        <v>27</v>
      </c>
      <c r="I33" s="46">
        <v>1844.79</v>
      </c>
      <c r="J33" s="47"/>
      <c r="K33" s="47"/>
      <c r="L33" s="47"/>
      <c r="M33" s="48"/>
      <c r="N33" s="69">
        <v>1715.33</v>
      </c>
      <c r="O33" s="47"/>
      <c r="P33" s="47"/>
      <c r="Q33" s="47"/>
      <c r="R33" s="48"/>
      <c r="S33" s="50"/>
      <c r="T33" s="47"/>
      <c r="U33" s="47"/>
      <c r="V33" s="47"/>
      <c r="W33" s="48"/>
      <c r="X33" s="61"/>
      <c r="Y33" s="47"/>
      <c r="Z33" s="47"/>
      <c r="AA33" s="47"/>
      <c r="AB33" s="48"/>
      <c r="AC33" s="50"/>
      <c r="AD33" s="47"/>
      <c r="AE33" s="47"/>
      <c r="AF33" s="47"/>
      <c r="AG33" s="48"/>
      <c r="AH33" s="52"/>
      <c r="AI33" s="47"/>
      <c r="AJ33" s="47"/>
      <c r="AK33" s="47"/>
      <c r="AL33" s="48"/>
      <c r="AM33" s="50"/>
      <c r="AN33" s="47"/>
      <c r="AO33" s="47"/>
      <c r="AP33" s="47"/>
      <c r="AQ33" s="48"/>
      <c r="AR33" s="51"/>
      <c r="AS33" s="47"/>
      <c r="AT33" s="47"/>
      <c r="AU33" s="47"/>
      <c r="AV33" s="48"/>
      <c r="AW33" s="53" t="s">
        <v>149</v>
      </c>
      <c r="AX33" s="47"/>
      <c r="AY33" s="47"/>
      <c r="AZ33" s="47"/>
      <c r="BA33" s="48"/>
      <c r="BB33" s="54">
        <f>sum(N33:R57)</f>
        <v>4963.51</v>
      </c>
      <c r="BC33" s="47"/>
      <c r="BD33" s="47"/>
      <c r="BE33" s="47"/>
      <c r="BF33" s="48"/>
      <c r="BG33" s="55" t="s">
        <v>22</v>
      </c>
      <c r="BH33" s="47"/>
      <c r="BI33" s="47"/>
      <c r="BJ33" s="47"/>
      <c r="BK33" s="56"/>
    </row>
    <row r="34" ht="21.0" customHeight="1">
      <c r="A34" s="43"/>
      <c r="B34" s="44" t="s">
        <v>152</v>
      </c>
      <c r="C34" s="44" t="s">
        <v>145</v>
      </c>
      <c r="D34" s="45">
        <v>44859.0</v>
      </c>
      <c r="E34" s="45">
        <v>44863.0</v>
      </c>
      <c r="F34" s="44" t="s">
        <v>153</v>
      </c>
      <c r="G34" s="44" t="s">
        <v>59</v>
      </c>
      <c r="H34" s="44" t="s">
        <v>27</v>
      </c>
      <c r="I34" s="46">
        <v>1836.21</v>
      </c>
      <c r="J34" s="47"/>
      <c r="K34" s="47"/>
      <c r="L34" s="47"/>
      <c r="M34" s="48"/>
      <c r="N34" s="69">
        <v>1966.13</v>
      </c>
      <c r="O34" s="47"/>
      <c r="P34" s="47"/>
      <c r="Q34" s="47"/>
      <c r="R34" s="48"/>
      <c r="S34" s="50"/>
      <c r="T34" s="47"/>
      <c r="U34" s="47"/>
      <c r="V34" s="47"/>
      <c r="W34" s="48"/>
      <c r="X34" s="61"/>
      <c r="Y34" s="47"/>
      <c r="Z34" s="47"/>
      <c r="AA34" s="47"/>
      <c r="AB34" s="48"/>
      <c r="AC34" s="50"/>
      <c r="AD34" s="47"/>
      <c r="AE34" s="47"/>
      <c r="AF34" s="47"/>
      <c r="AG34" s="48"/>
      <c r="AH34" s="51"/>
      <c r="AI34" s="47"/>
      <c r="AJ34" s="47"/>
      <c r="AK34" s="47"/>
      <c r="AL34" s="48"/>
      <c r="AM34" s="50"/>
      <c r="AN34" s="47"/>
      <c r="AO34" s="47"/>
      <c r="AP34" s="47"/>
      <c r="AQ34" s="48"/>
      <c r="AR34" s="52"/>
      <c r="AS34" s="47"/>
      <c r="AT34" s="47"/>
      <c r="AU34" s="47"/>
      <c r="AV34" s="48"/>
      <c r="AW34" s="53"/>
      <c r="AX34" s="47"/>
      <c r="AY34" s="47"/>
      <c r="AZ34" s="47"/>
      <c r="BA34" s="48"/>
      <c r="BB34" s="54">
        <f>SUM(X36:AB57)</f>
        <v>20086.63</v>
      </c>
      <c r="BC34" s="47"/>
      <c r="BD34" s="47"/>
      <c r="BE34" s="47"/>
      <c r="BF34" s="48"/>
      <c r="BG34" s="55" t="s">
        <v>3</v>
      </c>
      <c r="BH34" s="47"/>
      <c r="BI34" s="47"/>
      <c r="BJ34" s="47"/>
      <c r="BK34" s="56"/>
    </row>
    <row r="35" ht="21.0" customHeight="1">
      <c r="A35" s="43"/>
      <c r="B35" s="44" t="s">
        <v>118</v>
      </c>
      <c r="C35" s="44" t="s">
        <v>29</v>
      </c>
      <c r="D35" s="102">
        <v>44872.0</v>
      </c>
      <c r="E35" s="45">
        <v>44875.0</v>
      </c>
      <c r="F35" s="44" t="s">
        <v>30</v>
      </c>
      <c r="G35" s="44" t="s">
        <v>26</v>
      </c>
      <c r="H35" s="57" t="s">
        <v>21</v>
      </c>
      <c r="I35" s="46">
        <v>1509.67</v>
      </c>
      <c r="J35" s="47"/>
      <c r="K35" s="47"/>
      <c r="L35" s="47"/>
      <c r="M35" s="48"/>
      <c r="N35" s="69">
        <v>1282.05</v>
      </c>
      <c r="O35" s="47"/>
      <c r="P35" s="47"/>
      <c r="Q35" s="47"/>
      <c r="R35" s="48"/>
      <c r="S35" s="50"/>
      <c r="T35" s="47"/>
      <c r="U35" s="47"/>
      <c r="V35" s="47"/>
      <c r="W35" s="48"/>
      <c r="X35" s="61"/>
      <c r="Y35" s="47"/>
      <c r="Z35" s="47"/>
      <c r="AA35" s="47"/>
      <c r="AB35" s="48"/>
      <c r="AC35" s="50"/>
      <c r="AD35" s="47"/>
      <c r="AE35" s="47"/>
      <c r="AF35" s="47"/>
      <c r="AG35" s="48"/>
      <c r="AH35" s="51"/>
      <c r="AI35" s="47"/>
      <c r="AJ35" s="47"/>
      <c r="AK35" s="47"/>
      <c r="AL35" s="48"/>
      <c r="AM35" s="50"/>
      <c r="AN35" s="47"/>
      <c r="AO35" s="47"/>
      <c r="AP35" s="47"/>
      <c r="AQ35" s="48"/>
      <c r="AR35" s="52"/>
      <c r="AS35" s="47"/>
      <c r="AT35" s="47"/>
      <c r="AU35" s="47"/>
      <c r="AV35" s="48"/>
      <c r="AW35" s="53"/>
      <c r="AX35" s="47"/>
      <c r="AY35" s="47"/>
      <c r="AZ35" s="47"/>
      <c r="BA35" s="48"/>
      <c r="BB35" s="54">
        <f>SUM(AH33:AL57)</f>
        <v>17861.26</v>
      </c>
      <c r="BC35" s="47"/>
      <c r="BD35" s="47"/>
      <c r="BE35" s="47"/>
      <c r="BF35" s="48"/>
      <c r="BG35" s="55" t="s">
        <v>4</v>
      </c>
      <c r="BH35" s="47"/>
      <c r="BI35" s="47"/>
      <c r="BJ35" s="47"/>
      <c r="BK35" s="56"/>
    </row>
    <row r="36" ht="21.0" customHeight="1">
      <c r="A36" s="43"/>
      <c r="B36" s="44" t="s">
        <v>159</v>
      </c>
      <c r="C36" s="44" t="s">
        <v>160</v>
      </c>
      <c r="D36" s="45">
        <v>44962.0</v>
      </c>
      <c r="E36" s="45">
        <v>44967.0</v>
      </c>
      <c r="F36" s="44" t="s">
        <v>161</v>
      </c>
      <c r="G36" s="44" t="s">
        <v>59</v>
      </c>
      <c r="H36" s="57" t="s">
        <v>27</v>
      </c>
      <c r="I36" s="50"/>
      <c r="J36" s="47"/>
      <c r="K36" s="47"/>
      <c r="L36" s="47"/>
      <c r="M36" s="48"/>
      <c r="N36" s="51"/>
      <c r="O36" s="47"/>
      <c r="P36" s="47"/>
      <c r="Q36" s="47"/>
      <c r="R36" s="48"/>
      <c r="S36" s="46">
        <v>2199.42</v>
      </c>
      <c r="T36" s="47"/>
      <c r="U36" s="47"/>
      <c r="V36" s="47"/>
      <c r="W36" s="48"/>
      <c r="X36" s="71">
        <v>2000.42</v>
      </c>
      <c r="Y36" s="47"/>
      <c r="Z36" s="47"/>
      <c r="AA36" s="47"/>
      <c r="AB36" s="48"/>
      <c r="AC36" s="50"/>
      <c r="AD36" s="47"/>
      <c r="AE36" s="47"/>
      <c r="AF36" s="47"/>
      <c r="AG36" s="48"/>
      <c r="AH36" s="52"/>
      <c r="AI36" s="47"/>
      <c r="AJ36" s="47"/>
      <c r="AK36" s="47"/>
      <c r="AL36" s="48"/>
      <c r="AM36" s="50"/>
      <c r="AN36" s="47"/>
      <c r="AO36" s="47"/>
      <c r="AP36" s="47"/>
      <c r="AQ36" s="48"/>
      <c r="AR36" s="51"/>
      <c r="AS36" s="47"/>
      <c r="AT36" s="47"/>
      <c r="AU36" s="47"/>
      <c r="AV36" s="48"/>
      <c r="AW36" s="53"/>
      <c r="AX36" s="47"/>
      <c r="AY36" s="47"/>
      <c r="AZ36" s="47"/>
      <c r="BA36" s="48"/>
      <c r="BB36" s="54">
        <f>SUM(AR33:AV57)</f>
        <v>16932.88</v>
      </c>
      <c r="BC36" s="47"/>
      <c r="BD36" s="47"/>
      <c r="BE36" s="47"/>
      <c r="BF36" s="48"/>
      <c r="BG36" s="55" t="s">
        <v>5</v>
      </c>
      <c r="BH36" s="47"/>
      <c r="BI36" s="47"/>
      <c r="BJ36" s="47"/>
      <c r="BK36" s="56"/>
    </row>
    <row r="37" ht="21.0" customHeight="1">
      <c r="A37" s="43"/>
      <c r="B37" s="44" t="s">
        <v>165</v>
      </c>
      <c r="C37" s="44" t="s">
        <v>160</v>
      </c>
      <c r="D37" s="45" t="s">
        <v>167</v>
      </c>
      <c r="E37" s="45">
        <v>44965.0</v>
      </c>
      <c r="F37" s="44" t="s">
        <v>161</v>
      </c>
      <c r="G37" s="44" t="s">
        <v>59</v>
      </c>
      <c r="H37" s="44" t="s">
        <v>27</v>
      </c>
      <c r="I37" s="60"/>
      <c r="J37" s="47"/>
      <c r="K37" s="47"/>
      <c r="L37" s="47"/>
      <c r="M37" s="48"/>
      <c r="N37" s="61"/>
      <c r="O37" s="47"/>
      <c r="P37" s="47"/>
      <c r="Q37" s="47"/>
      <c r="R37" s="47"/>
      <c r="S37" s="46">
        <v>1019.27</v>
      </c>
      <c r="T37" s="47"/>
      <c r="U37" s="47"/>
      <c r="V37" s="47"/>
      <c r="W37" s="48"/>
      <c r="X37" s="71">
        <v>1036.8</v>
      </c>
      <c r="Y37" s="47"/>
      <c r="Z37" s="47"/>
      <c r="AA37" s="47"/>
      <c r="AB37" s="48"/>
      <c r="AC37" s="50"/>
      <c r="AD37" s="47"/>
      <c r="AE37" s="47"/>
      <c r="AF37" s="47"/>
      <c r="AG37" s="48"/>
      <c r="AH37" s="51"/>
      <c r="AI37" s="47"/>
      <c r="AJ37" s="47"/>
      <c r="AK37" s="47"/>
      <c r="AL37" s="48"/>
      <c r="AM37" s="50"/>
      <c r="AN37" s="47"/>
      <c r="AO37" s="47"/>
      <c r="AP37" s="47"/>
      <c r="AQ37" s="48"/>
      <c r="AR37" s="51"/>
      <c r="AS37" s="47"/>
      <c r="AT37" s="47"/>
      <c r="AU37" s="47"/>
      <c r="AV37" s="48"/>
      <c r="AW37" s="53"/>
      <c r="AX37" s="47"/>
      <c r="AY37" s="47"/>
      <c r="AZ37" s="47"/>
      <c r="BA37" s="48"/>
      <c r="BB37" s="54"/>
      <c r="BC37" s="47"/>
      <c r="BD37" s="47"/>
      <c r="BE37" s="47"/>
      <c r="BF37" s="48"/>
      <c r="BG37" s="59"/>
      <c r="BH37" s="47"/>
      <c r="BI37" s="47"/>
      <c r="BJ37" s="47"/>
      <c r="BK37" s="56"/>
    </row>
    <row r="38" ht="21.0" customHeight="1">
      <c r="A38" s="43"/>
      <c r="B38" s="44" t="s">
        <v>118</v>
      </c>
      <c r="C38" s="44" t="s">
        <v>168</v>
      </c>
      <c r="D38" s="45">
        <v>44975.0</v>
      </c>
      <c r="E38" s="45">
        <v>44982.0</v>
      </c>
      <c r="F38" s="44" t="s">
        <v>169</v>
      </c>
      <c r="G38" s="44" t="s">
        <v>48</v>
      </c>
      <c r="H38" s="44" t="s">
        <v>49</v>
      </c>
      <c r="I38" s="60"/>
      <c r="J38" s="47"/>
      <c r="K38" s="47"/>
      <c r="L38" s="47"/>
      <c r="M38" s="48"/>
      <c r="N38" s="61"/>
      <c r="O38" s="47"/>
      <c r="P38" s="47"/>
      <c r="Q38" s="47"/>
      <c r="R38" s="47"/>
      <c r="S38" s="46">
        <v>3372.02</v>
      </c>
      <c r="T38" s="47"/>
      <c r="U38" s="47"/>
      <c r="V38" s="47"/>
      <c r="W38" s="48"/>
      <c r="X38" s="71">
        <v>3279.0</v>
      </c>
      <c r="Y38" s="47"/>
      <c r="Z38" s="47"/>
      <c r="AA38" s="47"/>
      <c r="AB38" s="48"/>
      <c r="AC38" s="50"/>
      <c r="AD38" s="47"/>
      <c r="AE38" s="47"/>
      <c r="AF38" s="47"/>
      <c r="AG38" s="48"/>
      <c r="AH38" s="51"/>
      <c r="AI38" s="47"/>
      <c r="AJ38" s="47"/>
      <c r="AK38" s="47"/>
      <c r="AL38" s="48"/>
      <c r="AM38" s="50"/>
      <c r="AN38" s="47"/>
      <c r="AO38" s="47"/>
      <c r="AP38" s="47"/>
      <c r="AQ38" s="48"/>
      <c r="AR38" s="51"/>
      <c r="AS38" s="47"/>
      <c r="AT38" s="47"/>
      <c r="AU38" s="47"/>
      <c r="AV38" s="48"/>
      <c r="AW38" s="53"/>
      <c r="AX38" s="47"/>
      <c r="AY38" s="47"/>
      <c r="AZ38" s="47"/>
      <c r="BA38" s="48"/>
      <c r="BB38" s="54"/>
      <c r="BC38" s="47"/>
      <c r="BD38" s="47"/>
      <c r="BE38" s="47"/>
      <c r="BF38" s="48"/>
      <c r="BG38" s="59"/>
      <c r="BH38" s="47"/>
      <c r="BI38" s="47"/>
      <c r="BJ38" s="47"/>
      <c r="BK38" s="56"/>
    </row>
    <row r="39" ht="21.0" customHeight="1">
      <c r="A39" s="43"/>
      <c r="B39" s="44" t="s">
        <v>152</v>
      </c>
      <c r="C39" s="44" t="s">
        <v>171</v>
      </c>
      <c r="D39" s="45">
        <v>44966.0</v>
      </c>
      <c r="E39" s="45">
        <v>44975.0</v>
      </c>
      <c r="F39" s="44" t="s">
        <v>30</v>
      </c>
      <c r="G39" s="44" t="s">
        <v>26</v>
      </c>
      <c r="H39" s="44" t="s">
        <v>34</v>
      </c>
      <c r="I39" s="60"/>
      <c r="J39" s="47"/>
      <c r="K39" s="47"/>
      <c r="L39" s="47"/>
      <c r="M39" s="48"/>
      <c r="N39" s="61"/>
      <c r="O39" s="47"/>
      <c r="P39" s="47"/>
      <c r="Q39" s="47"/>
      <c r="R39" s="47"/>
      <c r="S39" s="46">
        <v>6624.36</v>
      </c>
      <c r="T39" s="47"/>
      <c r="U39" s="47"/>
      <c r="V39" s="47"/>
      <c r="W39" s="48"/>
      <c r="X39" s="71">
        <v>6590.66</v>
      </c>
      <c r="Y39" s="47"/>
      <c r="Z39" s="47"/>
      <c r="AA39" s="47"/>
      <c r="AB39" s="48"/>
      <c r="AC39" s="50"/>
      <c r="AD39" s="47"/>
      <c r="AE39" s="47"/>
      <c r="AF39" s="47"/>
      <c r="AG39" s="48"/>
      <c r="AH39" s="51"/>
      <c r="AI39" s="47"/>
      <c r="AJ39" s="47"/>
      <c r="AK39" s="47"/>
      <c r="AL39" s="48"/>
      <c r="AM39" s="50"/>
      <c r="AN39" s="47"/>
      <c r="AO39" s="47"/>
      <c r="AP39" s="47"/>
      <c r="AQ39" s="48"/>
      <c r="AR39" s="51"/>
      <c r="AS39" s="47"/>
      <c r="AT39" s="47"/>
      <c r="AU39" s="47"/>
      <c r="AV39" s="48"/>
      <c r="AW39" s="53"/>
      <c r="AX39" s="47"/>
      <c r="AY39" s="47"/>
      <c r="AZ39" s="47"/>
      <c r="BA39" s="48"/>
      <c r="BB39" s="54"/>
      <c r="BC39" s="47"/>
      <c r="BD39" s="47"/>
      <c r="BE39" s="47"/>
      <c r="BF39" s="48"/>
      <c r="BG39" s="59"/>
      <c r="BH39" s="47"/>
      <c r="BI39" s="47"/>
      <c r="BJ39" s="47"/>
      <c r="BK39" s="56"/>
    </row>
    <row r="40" ht="21.0" customHeight="1">
      <c r="A40" s="43"/>
      <c r="B40" s="44" t="s">
        <v>173</v>
      </c>
      <c r="C40" s="44" t="s">
        <v>168</v>
      </c>
      <c r="D40" s="45">
        <v>44979.0</v>
      </c>
      <c r="E40" s="45">
        <v>44982.0</v>
      </c>
      <c r="F40" s="44" t="s">
        <v>174</v>
      </c>
      <c r="G40" s="44" t="s">
        <v>26</v>
      </c>
      <c r="H40" s="57" t="s">
        <v>21</v>
      </c>
      <c r="I40" s="60"/>
      <c r="J40" s="47"/>
      <c r="K40" s="47"/>
      <c r="L40" s="47"/>
      <c r="M40" s="48"/>
      <c r="N40" s="61"/>
      <c r="O40" s="47"/>
      <c r="P40" s="47"/>
      <c r="Q40" s="47"/>
      <c r="R40" s="47"/>
      <c r="S40" s="46">
        <v>1199.5</v>
      </c>
      <c r="T40" s="47"/>
      <c r="U40" s="47"/>
      <c r="V40" s="47"/>
      <c r="W40" s="48"/>
      <c r="X40" s="71">
        <v>1352.66</v>
      </c>
      <c r="Y40" s="47"/>
      <c r="Z40" s="47"/>
      <c r="AA40" s="47"/>
      <c r="AB40" s="48"/>
      <c r="AC40" s="50"/>
      <c r="AD40" s="47"/>
      <c r="AE40" s="47"/>
      <c r="AF40" s="47"/>
      <c r="AG40" s="48"/>
      <c r="AH40" s="51"/>
      <c r="AI40" s="47"/>
      <c r="AJ40" s="47"/>
      <c r="AK40" s="47"/>
      <c r="AL40" s="48"/>
      <c r="AM40" s="50"/>
      <c r="AN40" s="47"/>
      <c r="AO40" s="47"/>
      <c r="AP40" s="47"/>
      <c r="AQ40" s="48"/>
      <c r="AR40" s="52"/>
      <c r="AS40" s="47"/>
      <c r="AT40" s="47"/>
      <c r="AU40" s="47"/>
      <c r="AV40" s="48"/>
      <c r="AW40" s="53"/>
      <c r="AX40" s="47"/>
      <c r="AY40" s="47"/>
      <c r="AZ40" s="47"/>
      <c r="BA40" s="48"/>
      <c r="BB40" s="54"/>
      <c r="BC40" s="47"/>
      <c r="BD40" s="47"/>
      <c r="BE40" s="47"/>
      <c r="BF40" s="48"/>
      <c r="BG40" s="59"/>
      <c r="BH40" s="47"/>
      <c r="BI40" s="47"/>
      <c r="BJ40" s="47"/>
      <c r="BK40" s="56"/>
    </row>
    <row r="41" ht="21.0" customHeight="1">
      <c r="A41" s="43"/>
      <c r="B41" s="44" t="s">
        <v>159</v>
      </c>
      <c r="C41" s="44" t="s">
        <v>175</v>
      </c>
      <c r="D41" s="45">
        <v>45010.0</v>
      </c>
      <c r="E41" s="45">
        <v>45016.0</v>
      </c>
      <c r="F41" s="44" t="s">
        <v>176</v>
      </c>
      <c r="G41" s="44" t="s">
        <v>26</v>
      </c>
      <c r="H41" s="57" t="s">
        <v>21</v>
      </c>
      <c r="I41" s="60"/>
      <c r="J41" s="47"/>
      <c r="K41" s="47"/>
      <c r="L41" s="47"/>
      <c r="M41" s="48"/>
      <c r="N41" s="61"/>
      <c r="O41" s="47"/>
      <c r="P41" s="47"/>
      <c r="Q41" s="47"/>
      <c r="R41" s="47"/>
      <c r="S41" s="46" t="s">
        <v>56</v>
      </c>
      <c r="T41" s="47"/>
      <c r="U41" s="47"/>
      <c r="V41" s="47"/>
      <c r="W41" s="48"/>
      <c r="X41" s="71" t="s">
        <v>56</v>
      </c>
      <c r="Y41" s="47"/>
      <c r="Z41" s="47"/>
      <c r="AA41" s="47"/>
      <c r="AB41" s="48"/>
      <c r="AC41" s="50"/>
      <c r="AD41" s="47"/>
      <c r="AE41" s="47"/>
      <c r="AF41" s="47"/>
      <c r="AG41" s="48"/>
      <c r="AH41" s="51"/>
      <c r="AI41" s="47"/>
      <c r="AJ41" s="47"/>
      <c r="AK41" s="47"/>
      <c r="AL41" s="48"/>
      <c r="AM41" s="50"/>
      <c r="AN41" s="47"/>
      <c r="AO41" s="47"/>
      <c r="AP41" s="47"/>
      <c r="AQ41" s="48"/>
      <c r="AR41" s="52"/>
      <c r="AS41" s="47"/>
      <c r="AT41" s="47"/>
      <c r="AU41" s="47"/>
      <c r="AV41" s="48"/>
      <c r="AW41" s="53"/>
      <c r="AX41" s="47"/>
      <c r="AY41" s="47"/>
      <c r="AZ41" s="47"/>
      <c r="BA41" s="48"/>
      <c r="BB41" s="54"/>
      <c r="BC41" s="47"/>
      <c r="BD41" s="47"/>
      <c r="BE41" s="47"/>
      <c r="BF41" s="48"/>
      <c r="BG41" s="59"/>
      <c r="BH41" s="47"/>
      <c r="BI41" s="47"/>
      <c r="BJ41" s="47"/>
      <c r="BK41" s="56"/>
    </row>
    <row r="42" ht="21.0" customHeight="1">
      <c r="A42" s="43"/>
      <c r="B42" s="44" t="s">
        <v>159</v>
      </c>
      <c r="C42" s="44" t="s">
        <v>177</v>
      </c>
      <c r="D42" s="45">
        <v>45016.0</v>
      </c>
      <c r="E42" s="45">
        <v>45026.0</v>
      </c>
      <c r="F42" s="44" t="s">
        <v>178</v>
      </c>
      <c r="G42" s="44" t="s">
        <v>84</v>
      </c>
      <c r="H42" s="57" t="s">
        <v>124</v>
      </c>
      <c r="I42" s="60"/>
      <c r="J42" s="47"/>
      <c r="K42" s="47"/>
      <c r="L42" s="47"/>
      <c r="M42" s="48"/>
      <c r="N42" s="61"/>
      <c r="O42" s="47"/>
      <c r="P42" s="47"/>
      <c r="Q42" s="47"/>
      <c r="R42" s="47"/>
      <c r="S42" s="46">
        <v>3858.09</v>
      </c>
      <c r="T42" s="47"/>
      <c r="U42" s="47"/>
      <c r="V42" s="47"/>
      <c r="W42" s="48"/>
      <c r="X42" s="71">
        <v>3216.77</v>
      </c>
      <c r="Y42" s="47"/>
      <c r="Z42" s="47"/>
      <c r="AA42" s="47"/>
      <c r="AB42" s="48"/>
      <c r="AC42" s="50"/>
      <c r="AD42" s="47"/>
      <c r="AE42" s="47"/>
      <c r="AF42" s="47"/>
      <c r="AG42" s="48"/>
      <c r="AH42" s="51"/>
      <c r="AI42" s="47"/>
      <c r="AJ42" s="47"/>
      <c r="AK42" s="47"/>
      <c r="AL42" s="48"/>
      <c r="AM42" s="50"/>
      <c r="AN42" s="47"/>
      <c r="AO42" s="47"/>
      <c r="AP42" s="47"/>
      <c r="AQ42" s="48"/>
      <c r="AR42" s="52"/>
      <c r="AS42" s="47"/>
      <c r="AT42" s="47"/>
      <c r="AU42" s="47"/>
      <c r="AV42" s="48"/>
      <c r="AW42" s="53"/>
      <c r="AX42" s="47"/>
      <c r="AY42" s="47"/>
      <c r="AZ42" s="47"/>
      <c r="BA42" s="48"/>
      <c r="BB42" s="54"/>
      <c r="BC42" s="47"/>
      <c r="BD42" s="47"/>
      <c r="BE42" s="47"/>
      <c r="BF42" s="48"/>
      <c r="BG42" s="59"/>
      <c r="BH42" s="47"/>
      <c r="BI42" s="47"/>
      <c r="BJ42" s="47"/>
      <c r="BK42" s="56"/>
    </row>
    <row r="43" ht="21.0" customHeight="1">
      <c r="A43" s="43"/>
      <c r="B43" s="44" t="s">
        <v>118</v>
      </c>
      <c r="C43" s="44" t="s">
        <v>83</v>
      </c>
      <c r="D43" s="45">
        <v>45005.0</v>
      </c>
      <c r="E43" s="45">
        <v>45008.0</v>
      </c>
      <c r="F43" s="44" t="s">
        <v>19</v>
      </c>
      <c r="G43" s="44" t="s">
        <v>26</v>
      </c>
      <c r="H43" s="57" t="s">
        <v>21</v>
      </c>
      <c r="I43" s="60"/>
      <c r="J43" s="47"/>
      <c r="K43" s="47"/>
      <c r="L43" s="47"/>
      <c r="M43" s="48"/>
      <c r="N43" s="61"/>
      <c r="O43" s="47"/>
      <c r="P43" s="47"/>
      <c r="Q43" s="47"/>
      <c r="R43" s="47"/>
      <c r="S43" s="46">
        <v>2683.4</v>
      </c>
      <c r="T43" s="47"/>
      <c r="U43" s="47"/>
      <c r="V43" s="47"/>
      <c r="W43" s="48"/>
      <c r="X43" s="71">
        <v>2610.32</v>
      </c>
      <c r="Y43" s="47"/>
      <c r="Z43" s="47"/>
      <c r="AA43" s="47"/>
      <c r="AB43" s="48"/>
      <c r="AC43" s="50"/>
      <c r="AD43" s="47"/>
      <c r="AE43" s="47"/>
      <c r="AF43" s="47"/>
      <c r="AG43" s="48"/>
      <c r="AH43" s="51"/>
      <c r="AI43" s="47"/>
      <c r="AJ43" s="47"/>
      <c r="AK43" s="47"/>
      <c r="AL43" s="48"/>
      <c r="AM43" s="50"/>
      <c r="AN43" s="47"/>
      <c r="AO43" s="47"/>
      <c r="AP43" s="47"/>
      <c r="AQ43" s="48"/>
      <c r="AR43" s="52"/>
      <c r="AS43" s="47"/>
      <c r="AT43" s="47"/>
      <c r="AU43" s="47"/>
      <c r="AV43" s="48"/>
      <c r="AW43" s="53"/>
      <c r="AX43" s="47"/>
      <c r="AY43" s="47"/>
      <c r="AZ43" s="47"/>
      <c r="BA43" s="48"/>
      <c r="BB43" s="54"/>
      <c r="BC43" s="47"/>
      <c r="BD43" s="47"/>
      <c r="BE43" s="47"/>
      <c r="BF43" s="48"/>
      <c r="BG43" s="59"/>
      <c r="BH43" s="47"/>
      <c r="BI43" s="47"/>
      <c r="BJ43" s="47"/>
      <c r="BK43" s="56"/>
    </row>
    <row r="44" ht="21.0" customHeight="1">
      <c r="A44" s="43"/>
      <c r="B44" s="44" t="s">
        <v>118</v>
      </c>
      <c r="C44" s="44" t="s">
        <v>181</v>
      </c>
      <c r="D44" s="45">
        <v>45029.0</v>
      </c>
      <c r="E44" s="45">
        <v>45038.0</v>
      </c>
      <c r="F44" s="44" t="s">
        <v>182</v>
      </c>
      <c r="G44" s="44" t="s">
        <v>48</v>
      </c>
      <c r="H44" s="44" t="s">
        <v>49</v>
      </c>
      <c r="I44" s="60"/>
      <c r="J44" s="47"/>
      <c r="K44" s="47"/>
      <c r="L44" s="47"/>
      <c r="M44" s="48"/>
      <c r="N44" s="61"/>
      <c r="O44" s="47"/>
      <c r="P44" s="47"/>
      <c r="Q44" s="47"/>
      <c r="R44" s="47"/>
      <c r="S44" s="50"/>
      <c r="T44" s="47"/>
      <c r="U44" s="47"/>
      <c r="V44" s="47"/>
      <c r="W44" s="48"/>
      <c r="X44" s="61"/>
      <c r="Y44" s="47"/>
      <c r="Z44" s="47"/>
      <c r="AA44" s="47"/>
      <c r="AB44" s="48"/>
      <c r="AC44" s="46">
        <v>4220.92</v>
      </c>
      <c r="AD44" s="47"/>
      <c r="AE44" s="47"/>
      <c r="AF44" s="47"/>
      <c r="AG44" s="48"/>
      <c r="AH44" s="69">
        <v>5035.79</v>
      </c>
      <c r="AI44" s="47"/>
      <c r="AJ44" s="47"/>
      <c r="AK44" s="47"/>
      <c r="AL44" s="48"/>
      <c r="AM44" s="50"/>
      <c r="AN44" s="47"/>
      <c r="AO44" s="47"/>
      <c r="AP44" s="47"/>
      <c r="AQ44" s="48"/>
      <c r="AR44" s="52"/>
      <c r="AS44" s="47"/>
      <c r="AT44" s="47"/>
      <c r="AU44" s="47"/>
      <c r="AV44" s="48"/>
      <c r="AW44" s="53"/>
      <c r="AX44" s="47"/>
      <c r="AY44" s="47"/>
      <c r="AZ44" s="47"/>
      <c r="BA44" s="48"/>
      <c r="BB44" s="54"/>
      <c r="BC44" s="47"/>
      <c r="BD44" s="47"/>
      <c r="BE44" s="47"/>
      <c r="BF44" s="48"/>
      <c r="BG44" s="59"/>
      <c r="BH44" s="47"/>
      <c r="BI44" s="47"/>
      <c r="BJ44" s="47"/>
      <c r="BK44" s="56"/>
    </row>
    <row r="45" ht="21.0" customHeight="1">
      <c r="A45" s="43"/>
      <c r="B45" s="44" t="s">
        <v>173</v>
      </c>
      <c r="C45" s="44" t="s">
        <v>184</v>
      </c>
      <c r="D45" s="45">
        <v>45035.0</v>
      </c>
      <c r="E45" s="45">
        <v>45038.0</v>
      </c>
      <c r="F45" s="44" t="s">
        <v>174</v>
      </c>
      <c r="G45" s="44" t="s">
        <v>26</v>
      </c>
      <c r="H45" s="57" t="s">
        <v>27</v>
      </c>
      <c r="I45" s="60"/>
      <c r="J45" s="47"/>
      <c r="K45" s="47"/>
      <c r="L45" s="47"/>
      <c r="M45" s="48"/>
      <c r="N45" s="61"/>
      <c r="O45" s="47"/>
      <c r="P45" s="47"/>
      <c r="Q45" s="47"/>
      <c r="R45" s="47"/>
      <c r="S45" s="50"/>
      <c r="T45" s="47"/>
      <c r="U45" s="47"/>
      <c r="V45" s="47"/>
      <c r="W45" s="48"/>
      <c r="X45" s="61"/>
      <c r="Y45" s="47"/>
      <c r="Z45" s="47"/>
      <c r="AA45" s="47"/>
      <c r="AB45" s="48"/>
      <c r="AC45" s="46">
        <v>2034.5</v>
      </c>
      <c r="AD45" s="47"/>
      <c r="AE45" s="47"/>
      <c r="AF45" s="47"/>
      <c r="AG45" s="48"/>
      <c r="AH45" s="69">
        <v>1319.5</v>
      </c>
      <c r="AI45" s="47"/>
      <c r="AJ45" s="47"/>
      <c r="AK45" s="47"/>
      <c r="AL45" s="48"/>
      <c r="AM45" s="50"/>
      <c r="AN45" s="47"/>
      <c r="AO45" s="47"/>
      <c r="AP45" s="47"/>
      <c r="AQ45" s="48"/>
      <c r="AR45" s="52"/>
      <c r="AS45" s="47"/>
      <c r="AT45" s="47"/>
      <c r="AU45" s="47"/>
      <c r="AV45" s="48"/>
      <c r="AW45" s="53"/>
      <c r="AX45" s="47"/>
      <c r="AY45" s="47"/>
      <c r="AZ45" s="47"/>
      <c r="BA45" s="48"/>
      <c r="BB45" s="54"/>
      <c r="BC45" s="47"/>
      <c r="BD45" s="47"/>
      <c r="BE45" s="47"/>
      <c r="BF45" s="48"/>
      <c r="BG45" s="59"/>
      <c r="BH45" s="47"/>
      <c r="BI45" s="47"/>
      <c r="BJ45" s="47"/>
      <c r="BK45" s="56"/>
    </row>
    <row r="46" ht="21.0" customHeight="1">
      <c r="A46" s="43"/>
      <c r="B46" s="44" t="s">
        <v>118</v>
      </c>
      <c r="C46" s="44" t="s">
        <v>102</v>
      </c>
      <c r="D46" s="45">
        <v>45046.0</v>
      </c>
      <c r="E46" s="45">
        <v>45050.0</v>
      </c>
      <c r="F46" s="44" t="s">
        <v>50</v>
      </c>
      <c r="G46" s="44" t="s">
        <v>26</v>
      </c>
      <c r="H46" s="44" t="s">
        <v>21</v>
      </c>
      <c r="I46" s="60"/>
      <c r="J46" s="47"/>
      <c r="K46" s="47"/>
      <c r="L46" s="47"/>
      <c r="M46" s="48"/>
      <c r="N46" s="61"/>
      <c r="O46" s="47"/>
      <c r="P46" s="47"/>
      <c r="Q46" s="47"/>
      <c r="R46" s="47"/>
      <c r="S46" s="50"/>
      <c r="T46" s="47"/>
      <c r="U46" s="47"/>
      <c r="V46" s="47"/>
      <c r="W46" s="48"/>
      <c r="X46" s="61"/>
      <c r="Y46" s="47"/>
      <c r="Z46" s="47"/>
      <c r="AA46" s="47"/>
      <c r="AB46" s="48"/>
      <c r="AC46" s="46">
        <v>1853.09</v>
      </c>
      <c r="AD46" s="47"/>
      <c r="AE46" s="47"/>
      <c r="AF46" s="47"/>
      <c r="AG46" s="48"/>
      <c r="AH46" s="69">
        <v>1814.57</v>
      </c>
      <c r="AI46" s="47"/>
      <c r="AJ46" s="47"/>
      <c r="AK46" s="47"/>
      <c r="AL46" s="48"/>
      <c r="AM46" s="50"/>
      <c r="AN46" s="47"/>
      <c r="AO46" s="47"/>
      <c r="AP46" s="47"/>
      <c r="AQ46" s="48"/>
      <c r="AR46" s="52"/>
      <c r="AS46" s="47"/>
      <c r="AT46" s="47"/>
      <c r="AU46" s="47"/>
      <c r="AV46" s="48"/>
      <c r="AW46" s="53"/>
      <c r="AX46" s="47"/>
      <c r="AY46" s="47"/>
      <c r="AZ46" s="47"/>
      <c r="BA46" s="48"/>
      <c r="BB46" s="54"/>
      <c r="BC46" s="47"/>
      <c r="BD46" s="47"/>
      <c r="BE46" s="47"/>
      <c r="BF46" s="48"/>
      <c r="BG46" s="59"/>
      <c r="BH46" s="47"/>
      <c r="BI46" s="47"/>
      <c r="BJ46" s="47"/>
      <c r="BK46" s="56"/>
    </row>
    <row r="47" ht="21.0" customHeight="1">
      <c r="A47" s="43"/>
      <c r="B47" s="44" t="s">
        <v>144</v>
      </c>
      <c r="C47" s="44" t="s">
        <v>168</v>
      </c>
      <c r="D47" s="45">
        <v>45030.0</v>
      </c>
      <c r="E47" s="45">
        <v>45035.0</v>
      </c>
      <c r="F47" s="44" t="s">
        <v>192</v>
      </c>
      <c r="G47" s="44" t="s">
        <v>26</v>
      </c>
      <c r="H47" s="44" t="s">
        <v>27</v>
      </c>
      <c r="I47" s="60"/>
      <c r="J47" s="47"/>
      <c r="K47" s="47"/>
      <c r="L47" s="47"/>
      <c r="M47" s="48"/>
      <c r="N47" s="61"/>
      <c r="O47" s="47"/>
      <c r="P47" s="47"/>
      <c r="Q47" s="47"/>
      <c r="R47" s="47"/>
      <c r="S47" s="50"/>
      <c r="T47" s="47"/>
      <c r="U47" s="47"/>
      <c r="V47" s="47"/>
      <c r="W47" s="48"/>
      <c r="X47" s="61"/>
      <c r="Y47" s="47"/>
      <c r="Z47" s="47"/>
      <c r="AA47" s="47"/>
      <c r="AB47" s="48"/>
      <c r="AC47" s="46">
        <v>3170.0</v>
      </c>
      <c r="AD47" s="47"/>
      <c r="AE47" s="47"/>
      <c r="AF47" s="47"/>
      <c r="AG47" s="48"/>
      <c r="AH47" s="69">
        <v>2200.76</v>
      </c>
      <c r="AI47" s="47"/>
      <c r="AJ47" s="47"/>
      <c r="AK47" s="47"/>
      <c r="AL47" s="48"/>
      <c r="AM47" s="50"/>
      <c r="AN47" s="47"/>
      <c r="AO47" s="47"/>
      <c r="AP47" s="47"/>
      <c r="AQ47" s="48"/>
      <c r="AR47" s="52"/>
      <c r="AS47" s="47"/>
      <c r="AT47" s="47"/>
      <c r="AU47" s="47"/>
      <c r="AV47" s="48"/>
      <c r="AW47" s="53"/>
      <c r="AX47" s="47"/>
      <c r="AY47" s="47"/>
      <c r="AZ47" s="47"/>
      <c r="BA47" s="48"/>
      <c r="BB47" s="54"/>
      <c r="BC47" s="47"/>
      <c r="BD47" s="47"/>
      <c r="BE47" s="47"/>
      <c r="BF47" s="48"/>
      <c r="BG47" s="59"/>
      <c r="BH47" s="47"/>
      <c r="BI47" s="47"/>
      <c r="BJ47" s="47"/>
      <c r="BK47" s="56"/>
    </row>
    <row r="48" ht="21.0" customHeight="1">
      <c r="A48" s="43"/>
      <c r="B48" s="44" t="s">
        <v>152</v>
      </c>
      <c r="C48" s="44" t="s">
        <v>193</v>
      </c>
      <c r="D48" s="45">
        <v>45053.0</v>
      </c>
      <c r="E48" s="45">
        <v>45058.0</v>
      </c>
      <c r="F48" s="44" t="s">
        <v>194</v>
      </c>
      <c r="G48" s="44" t="s">
        <v>195</v>
      </c>
      <c r="H48" s="44" t="s">
        <v>124</v>
      </c>
      <c r="I48" s="60"/>
      <c r="J48" s="47"/>
      <c r="K48" s="47"/>
      <c r="L48" s="47"/>
      <c r="M48" s="48"/>
      <c r="N48" s="61"/>
      <c r="O48" s="47"/>
      <c r="P48" s="47"/>
      <c r="Q48" s="47"/>
      <c r="R48" s="47"/>
      <c r="S48" s="50"/>
      <c r="T48" s="47"/>
      <c r="U48" s="47"/>
      <c r="V48" s="47"/>
      <c r="W48" s="48"/>
      <c r="X48" s="61"/>
      <c r="Y48" s="47"/>
      <c r="Z48" s="47"/>
      <c r="AA48" s="47"/>
      <c r="AB48" s="48"/>
      <c r="AC48" s="46">
        <v>5018.49</v>
      </c>
      <c r="AD48" s="47"/>
      <c r="AE48" s="47"/>
      <c r="AF48" s="47"/>
      <c r="AG48" s="48"/>
      <c r="AH48" s="69">
        <v>5047.76</v>
      </c>
      <c r="AI48" s="47"/>
      <c r="AJ48" s="47"/>
      <c r="AK48" s="47"/>
      <c r="AL48" s="48"/>
      <c r="AM48" s="50"/>
      <c r="AN48" s="47"/>
      <c r="AO48" s="47"/>
      <c r="AP48" s="47"/>
      <c r="AQ48" s="48"/>
      <c r="AR48" s="52"/>
      <c r="AS48" s="47"/>
      <c r="AT48" s="47"/>
      <c r="AU48" s="47"/>
      <c r="AV48" s="48"/>
      <c r="AW48" s="53"/>
      <c r="AX48" s="47"/>
      <c r="AY48" s="47"/>
      <c r="AZ48" s="47"/>
      <c r="BA48" s="48"/>
      <c r="BB48" s="54"/>
      <c r="BC48" s="47"/>
      <c r="BD48" s="47"/>
      <c r="BE48" s="47"/>
      <c r="BF48" s="48"/>
      <c r="BG48" s="59"/>
      <c r="BH48" s="47"/>
      <c r="BI48" s="47"/>
      <c r="BJ48" s="47"/>
      <c r="BK48" s="56"/>
    </row>
    <row r="49" ht="21.0" customHeight="1">
      <c r="A49" s="43"/>
      <c r="B49" s="44" t="s">
        <v>144</v>
      </c>
      <c r="C49" s="44" t="s">
        <v>198</v>
      </c>
      <c r="D49" s="45">
        <v>45061.0</v>
      </c>
      <c r="E49" s="45">
        <v>45065.0</v>
      </c>
      <c r="F49" s="44" t="s">
        <v>199</v>
      </c>
      <c r="G49" s="44" t="s">
        <v>59</v>
      </c>
      <c r="H49" s="44" t="s">
        <v>27</v>
      </c>
      <c r="I49" s="60"/>
      <c r="J49" s="47"/>
      <c r="K49" s="47"/>
      <c r="L49" s="47"/>
      <c r="M49" s="48"/>
      <c r="N49" s="61"/>
      <c r="O49" s="47"/>
      <c r="P49" s="47"/>
      <c r="Q49" s="47"/>
      <c r="R49" s="47"/>
      <c r="S49" s="50"/>
      <c r="T49" s="47"/>
      <c r="U49" s="47"/>
      <c r="V49" s="47"/>
      <c r="W49" s="48"/>
      <c r="X49" s="61"/>
      <c r="Y49" s="47"/>
      <c r="Z49" s="47"/>
      <c r="AA49" s="47"/>
      <c r="AB49" s="48"/>
      <c r="AC49" s="46">
        <v>1405.57</v>
      </c>
      <c r="AD49" s="47"/>
      <c r="AE49" s="47"/>
      <c r="AF49" s="47"/>
      <c r="AG49" s="48"/>
      <c r="AH49" s="69">
        <v>1444.41</v>
      </c>
      <c r="AI49" s="47"/>
      <c r="AJ49" s="47"/>
      <c r="AK49" s="47"/>
      <c r="AL49" s="48"/>
      <c r="AM49" s="50"/>
      <c r="AN49" s="47"/>
      <c r="AO49" s="47"/>
      <c r="AP49" s="47"/>
      <c r="AQ49" s="48"/>
      <c r="AR49" s="52"/>
      <c r="AS49" s="47"/>
      <c r="AT49" s="47"/>
      <c r="AU49" s="47"/>
      <c r="AV49" s="48"/>
      <c r="AW49" s="53"/>
      <c r="AX49" s="47"/>
      <c r="AY49" s="47"/>
      <c r="AZ49" s="47"/>
      <c r="BA49" s="48"/>
      <c r="BB49" s="54"/>
      <c r="BC49" s="47"/>
      <c r="BD49" s="47"/>
      <c r="BE49" s="47"/>
      <c r="BF49" s="48"/>
      <c r="BG49" s="59"/>
      <c r="BH49" s="47"/>
      <c r="BI49" s="47"/>
      <c r="BJ49" s="47"/>
      <c r="BK49" s="56"/>
    </row>
    <row r="50" ht="21.0" customHeight="1">
      <c r="A50" s="43"/>
      <c r="B50" s="44" t="s">
        <v>173</v>
      </c>
      <c r="C50" s="44" t="s">
        <v>203</v>
      </c>
      <c r="D50" s="102">
        <v>45101.0</v>
      </c>
      <c r="E50" s="45">
        <v>45105.0</v>
      </c>
      <c r="F50" s="44" t="s">
        <v>174</v>
      </c>
      <c r="G50" s="44" t="s">
        <v>59</v>
      </c>
      <c r="H50" s="44" t="s">
        <v>27</v>
      </c>
      <c r="I50" s="60"/>
      <c r="J50" s="47"/>
      <c r="K50" s="47"/>
      <c r="L50" s="47"/>
      <c r="M50" s="48"/>
      <c r="N50" s="61"/>
      <c r="O50" s="47"/>
      <c r="P50" s="47"/>
      <c r="Q50" s="47"/>
      <c r="R50" s="47"/>
      <c r="S50" s="50"/>
      <c r="T50" s="47"/>
      <c r="U50" s="47"/>
      <c r="V50" s="47"/>
      <c r="W50" s="48"/>
      <c r="X50" s="61"/>
      <c r="Y50" s="47"/>
      <c r="Z50" s="47"/>
      <c r="AA50" s="47"/>
      <c r="AB50" s="48"/>
      <c r="AC50" s="46">
        <v>1528.25</v>
      </c>
      <c r="AD50" s="47"/>
      <c r="AE50" s="47"/>
      <c r="AF50" s="47"/>
      <c r="AG50" s="48"/>
      <c r="AH50" s="69" t="s">
        <v>56</v>
      </c>
      <c r="AI50" s="47"/>
      <c r="AJ50" s="47"/>
      <c r="AK50" s="47"/>
      <c r="AL50" s="48"/>
      <c r="AM50" s="50"/>
      <c r="AN50" s="47"/>
      <c r="AO50" s="47"/>
      <c r="AP50" s="47"/>
      <c r="AQ50" s="48"/>
      <c r="AR50" s="52"/>
      <c r="AS50" s="47"/>
      <c r="AT50" s="47"/>
      <c r="AU50" s="47"/>
      <c r="AV50" s="48"/>
      <c r="AW50" s="53"/>
      <c r="AX50" s="47"/>
      <c r="AY50" s="47"/>
      <c r="AZ50" s="47"/>
      <c r="BA50" s="48"/>
      <c r="BB50" s="54"/>
      <c r="BC50" s="47"/>
      <c r="BD50" s="47"/>
      <c r="BE50" s="47"/>
      <c r="BF50" s="48"/>
      <c r="BG50" s="59"/>
      <c r="BH50" s="47"/>
      <c r="BI50" s="47"/>
      <c r="BJ50" s="47"/>
      <c r="BK50" s="56"/>
    </row>
    <row r="51" ht="21.0" customHeight="1">
      <c r="A51" s="43"/>
      <c r="B51" s="44" t="s">
        <v>144</v>
      </c>
      <c r="C51" s="44" t="s">
        <v>205</v>
      </c>
      <c r="D51" s="102">
        <v>45082.0</v>
      </c>
      <c r="E51" s="45">
        <v>45085.0</v>
      </c>
      <c r="F51" s="44" t="s">
        <v>206</v>
      </c>
      <c r="G51" s="44" t="s">
        <v>59</v>
      </c>
      <c r="H51" s="44" t="s">
        <v>27</v>
      </c>
      <c r="I51" s="60"/>
      <c r="J51" s="47"/>
      <c r="K51" s="47"/>
      <c r="L51" s="47"/>
      <c r="M51" s="48"/>
      <c r="N51" s="61"/>
      <c r="O51" s="47"/>
      <c r="P51" s="47"/>
      <c r="Q51" s="47"/>
      <c r="R51" s="47"/>
      <c r="S51" s="50"/>
      <c r="T51" s="47"/>
      <c r="U51" s="47"/>
      <c r="V51" s="47"/>
      <c r="W51" s="48"/>
      <c r="X51" s="61"/>
      <c r="Y51" s="47"/>
      <c r="Z51" s="47"/>
      <c r="AA51" s="47"/>
      <c r="AB51" s="48"/>
      <c r="AC51" s="46">
        <v>998.47</v>
      </c>
      <c r="AD51" s="47"/>
      <c r="AE51" s="47"/>
      <c r="AF51" s="47"/>
      <c r="AG51" s="48"/>
      <c r="AH51" s="69">
        <v>998.47</v>
      </c>
      <c r="AI51" s="47"/>
      <c r="AJ51" s="47"/>
      <c r="AK51" s="47"/>
      <c r="AL51" s="48"/>
      <c r="AM51" s="50"/>
      <c r="AN51" s="47"/>
      <c r="AO51" s="47"/>
      <c r="AP51" s="47"/>
      <c r="AQ51" s="48"/>
      <c r="AR51" s="52"/>
      <c r="AS51" s="47"/>
      <c r="AT51" s="47"/>
      <c r="AU51" s="47"/>
      <c r="AV51" s="48"/>
      <c r="AW51" s="53"/>
      <c r="AX51" s="47"/>
      <c r="AY51" s="47"/>
      <c r="AZ51" s="47"/>
      <c r="BA51" s="48"/>
      <c r="BB51" s="54"/>
      <c r="BC51" s="47"/>
      <c r="BD51" s="47"/>
      <c r="BE51" s="47"/>
      <c r="BF51" s="48"/>
      <c r="BG51" s="59"/>
      <c r="BH51" s="47"/>
      <c r="BI51" s="47"/>
      <c r="BJ51" s="47"/>
      <c r="BK51" s="56"/>
    </row>
    <row r="52" ht="21.0" customHeight="1">
      <c r="A52" s="43"/>
      <c r="B52" s="44" t="s">
        <v>51</v>
      </c>
      <c r="C52" s="44" t="s">
        <v>76</v>
      </c>
      <c r="D52" s="102">
        <v>45144.0</v>
      </c>
      <c r="E52" s="45">
        <v>45148.0</v>
      </c>
      <c r="F52" s="44" t="s">
        <v>207</v>
      </c>
      <c r="G52" s="44" t="s">
        <v>26</v>
      </c>
      <c r="H52" s="44" t="s">
        <v>21</v>
      </c>
      <c r="I52" s="60"/>
      <c r="J52" s="47"/>
      <c r="K52" s="47"/>
      <c r="L52" s="47"/>
      <c r="M52" s="48"/>
      <c r="N52" s="61"/>
      <c r="O52" s="47"/>
      <c r="P52" s="47"/>
      <c r="Q52" s="47"/>
      <c r="R52" s="47"/>
      <c r="S52" s="50"/>
      <c r="T52" s="47"/>
      <c r="U52" s="47"/>
      <c r="V52" s="47"/>
      <c r="W52" s="48"/>
      <c r="X52" s="61"/>
      <c r="Y52" s="47"/>
      <c r="Z52" s="47"/>
      <c r="AA52" s="47"/>
      <c r="AB52" s="48"/>
      <c r="AC52" s="50"/>
      <c r="AD52" s="47"/>
      <c r="AE52" s="47"/>
      <c r="AF52" s="47"/>
      <c r="AG52" s="48"/>
      <c r="AH52" s="51"/>
      <c r="AI52" s="47"/>
      <c r="AJ52" s="47"/>
      <c r="AK52" s="47"/>
      <c r="AL52" s="48"/>
      <c r="AM52" s="46">
        <v>1909.44</v>
      </c>
      <c r="AN52" s="47"/>
      <c r="AO52" s="47"/>
      <c r="AP52" s="47"/>
      <c r="AQ52" s="48"/>
      <c r="AR52" s="69">
        <v>2470.76</v>
      </c>
      <c r="AS52" s="47"/>
      <c r="AT52" s="47"/>
      <c r="AU52" s="47"/>
      <c r="AV52" s="48"/>
      <c r="AW52" s="53"/>
      <c r="AX52" s="47"/>
      <c r="AY52" s="47"/>
      <c r="AZ52" s="47"/>
      <c r="BA52" s="48"/>
      <c r="BB52" s="54"/>
      <c r="BC52" s="47"/>
      <c r="BD52" s="47"/>
      <c r="BE52" s="47"/>
      <c r="BF52" s="48"/>
      <c r="BG52" s="59"/>
      <c r="BH52" s="47"/>
      <c r="BI52" s="47"/>
      <c r="BJ52" s="47"/>
      <c r="BK52" s="56"/>
    </row>
    <row r="53" ht="21.0" customHeight="1">
      <c r="A53" s="43"/>
      <c r="B53" s="44" t="s">
        <v>173</v>
      </c>
      <c r="C53" s="44" t="s">
        <v>208</v>
      </c>
      <c r="D53" s="45">
        <v>45125.0</v>
      </c>
      <c r="E53" s="45">
        <v>45128.0</v>
      </c>
      <c r="F53" s="44" t="s">
        <v>174</v>
      </c>
      <c r="G53" s="44" t="s">
        <v>26</v>
      </c>
      <c r="H53" s="44" t="s">
        <v>21</v>
      </c>
      <c r="I53" s="60"/>
      <c r="J53" s="47"/>
      <c r="K53" s="47"/>
      <c r="L53" s="47"/>
      <c r="M53" s="48"/>
      <c r="N53" s="61"/>
      <c r="O53" s="47"/>
      <c r="P53" s="47"/>
      <c r="Q53" s="47"/>
      <c r="R53" s="47"/>
      <c r="S53" s="50"/>
      <c r="T53" s="47"/>
      <c r="U53" s="47"/>
      <c r="V53" s="47"/>
      <c r="W53" s="48"/>
      <c r="X53" s="61"/>
      <c r="Y53" s="47"/>
      <c r="Z53" s="47"/>
      <c r="AA53" s="47"/>
      <c r="AB53" s="48"/>
      <c r="AC53" s="50"/>
      <c r="AD53" s="47"/>
      <c r="AE53" s="47"/>
      <c r="AF53" s="47"/>
      <c r="AG53" s="48"/>
      <c r="AH53" s="51"/>
      <c r="AI53" s="47"/>
      <c r="AJ53" s="47"/>
      <c r="AK53" s="47"/>
      <c r="AL53" s="48"/>
      <c r="AM53" s="46">
        <v>1298.25</v>
      </c>
      <c r="AN53" s="47"/>
      <c r="AO53" s="47"/>
      <c r="AP53" s="47"/>
      <c r="AQ53" s="48"/>
      <c r="AR53" s="69">
        <v>1367.25</v>
      </c>
      <c r="AS53" s="47"/>
      <c r="AT53" s="47"/>
      <c r="AU53" s="47"/>
      <c r="AV53" s="48"/>
      <c r="AW53" s="53"/>
      <c r="AX53" s="47"/>
      <c r="AY53" s="47"/>
      <c r="AZ53" s="47"/>
      <c r="BA53" s="48"/>
      <c r="BB53" s="54"/>
      <c r="BC53" s="47"/>
      <c r="BD53" s="47"/>
      <c r="BE53" s="47"/>
      <c r="BF53" s="48"/>
      <c r="BG53" s="59"/>
      <c r="BH53" s="47"/>
      <c r="BI53" s="47"/>
      <c r="BJ53" s="47"/>
      <c r="BK53" s="56"/>
    </row>
    <row r="54" ht="21.0" customHeight="1">
      <c r="A54" s="43"/>
      <c r="B54" s="44" t="s">
        <v>173</v>
      </c>
      <c r="C54" s="44" t="s">
        <v>210</v>
      </c>
      <c r="D54" s="45">
        <v>45137.0</v>
      </c>
      <c r="E54" s="45">
        <v>45142.0</v>
      </c>
      <c r="F54" s="44" t="s">
        <v>174</v>
      </c>
      <c r="G54" s="44" t="s">
        <v>59</v>
      </c>
      <c r="H54" s="44" t="s">
        <v>27</v>
      </c>
      <c r="I54" s="60"/>
      <c r="J54" s="47"/>
      <c r="K54" s="47"/>
      <c r="L54" s="47"/>
      <c r="M54" s="48"/>
      <c r="N54" s="61"/>
      <c r="O54" s="47"/>
      <c r="P54" s="47"/>
      <c r="Q54" s="47"/>
      <c r="R54" s="47"/>
      <c r="S54" s="50"/>
      <c r="T54" s="47"/>
      <c r="U54" s="47"/>
      <c r="V54" s="47"/>
      <c r="W54" s="48"/>
      <c r="X54" s="61"/>
      <c r="Y54" s="47"/>
      <c r="Z54" s="47"/>
      <c r="AA54" s="47"/>
      <c r="AB54" s="48"/>
      <c r="AC54" s="50"/>
      <c r="AD54" s="47"/>
      <c r="AE54" s="47"/>
      <c r="AF54" s="47"/>
      <c r="AG54" s="48"/>
      <c r="AH54" s="51"/>
      <c r="AI54" s="47"/>
      <c r="AJ54" s="47"/>
      <c r="AK54" s="47"/>
      <c r="AL54" s="48"/>
      <c r="AM54" s="46">
        <v>2208.25</v>
      </c>
      <c r="AN54" s="47"/>
      <c r="AO54" s="47"/>
      <c r="AP54" s="47"/>
      <c r="AQ54" s="48"/>
      <c r="AR54" s="69">
        <v>2038.26</v>
      </c>
      <c r="AS54" s="47"/>
      <c r="AT54" s="47"/>
      <c r="AU54" s="47"/>
      <c r="AV54" s="48"/>
      <c r="AW54" s="53"/>
      <c r="AX54" s="47"/>
      <c r="AY54" s="47"/>
      <c r="AZ54" s="47"/>
      <c r="BA54" s="48"/>
      <c r="BB54" s="54"/>
      <c r="BC54" s="47"/>
      <c r="BD54" s="47"/>
      <c r="BE54" s="47"/>
      <c r="BF54" s="48"/>
      <c r="BG54" s="59"/>
      <c r="BH54" s="47"/>
      <c r="BI54" s="47"/>
      <c r="BJ54" s="47"/>
      <c r="BK54" s="56"/>
    </row>
    <row r="55" ht="21.0" customHeight="1">
      <c r="A55" s="43"/>
      <c r="B55" s="44" t="s">
        <v>144</v>
      </c>
      <c r="C55" s="44" t="s">
        <v>208</v>
      </c>
      <c r="D55" s="45">
        <v>45128.0</v>
      </c>
      <c r="E55" s="45">
        <v>45136.0</v>
      </c>
      <c r="F55" s="44" t="s">
        <v>212</v>
      </c>
      <c r="G55" s="44" t="s">
        <v>26</v>
      </c>
      <c r="H55" s="44" t="s">
        <v>27</v>
      </c>
      <c r="I55" s="60"/>
      <c r="J55" s="47"/>
      <c r="K55" s="47"/>
      <c r="L55" s="47"/>
      <c r="M55" s="48"/>
      <c r="N55" s="61"/>
      <c r="O55" s="47"/>
      <c r="P55" s="47"/>
      <c r="Q55" s="47"/>
      <c r="R55" s="47"/>
      <c r="S55" s="50"/>
      <c r="T55" s="47"/>
      <c r="U55" s="47"/>
      <c r="V55" s="47"/>
      <c r="W55" s="48"/>
      <c r="X55" s="61"/>
      <c r="Y55" s="47"/>
      <c r="Z55" s="47"/>
      <c r="AA55" s="47"/>
      <c r="AB55" s="48"/>
      <c r="AC55" s="50"/>
      <c r="AD55" s="47"/>
      <c r="AE55" s="47"/>
      <c r="AF55" s="47"/>
      <c r="AG55" s="48"/>
      <c r="AH55" s="51"/>
      <c r="AI55" s="47"/>
      <c r="AJ55" s="47"/>
      <c r="AK55" s="47"/>
      <c r="AL55" s="48"/>
      <c r="AM55" s="46">
        <v>3540.98</v>
      </c>
      <c r="AN55" s="47"/>
      <c r="AO55" s="47"/>
      <c r="AP55" s="47"/>
      <c r="AQ55" s="48"/>
      <c r="AR55" s="69">
        <v>3567.02</v>
      </c>
      <c r="AS55" s="47"/>
      <c r="AT55" s="47"/>
      <c r="AU55" s="47"/>
      <c r="AV55" s="48"/>
      <c r="AW55" s="53"/>
      <c r="AX55" s="47"/>
      <c r="AY55" s="47"/>
      <c r="AZ55" s="47"/>
      <c r="BA55" s="48"/>
      <c r="BB55" s="54"/>
      <c r="BC55" s="47"/>
      <c r="BD55" s="47"/>
      <c r="BE55" s="47"/>
      <c r="BF55" s="48"/>
      <c r="BG55" s="59"/>
      <c r="BH55" s="47"/>
      <c r="BI55" s="47"/>
      <c r="BJ55" s="47"/>
      <c r="BK55" s="56"/>
    </row>
    <row r="56" ht="21.0" customHeight="1">
      <c r="A56" s="43"/>
      <c r="B56" s="44" t="s">
        <v>118</v>
      </c>
      <c r="C56" s="44" t="s">
        <v>215</v>
      </c>
      <c r="D56" s="45">
        <v>45122.0</v>
      </c>
      <c r="E56" s="45">
        <v>45136.0</v>
      </c>
      <c r="F56" s="44" t="s">
        <v>212</v>
      </c>
      <c r="G56" s="44" t="s">
        <v>26</v>
      </c>
      <c r="H56" s="44" t="s">
        <v>49</v>
      </c>
      <c r="I56" s="60"/>
      <c r="J56" s="47"/>
      <c r="K56" s="47"/>
      <c r="L56" s="47"/>
      <c r="M56" s="48"/>
      <c r="N56" s="61"/>
      <c r="O56" s="47"/>
      <c r="P56" s="47"/>
      <c r="Q56" s="47"/>
      <c r="R56" s="47"/>
      <c r="S56" s="50"/>
      <c r="T56" s="47"/>
      <c r="U56" s="47"/>
      <c r="V56" s="47"/>
      <c r="W56" s="48"/>
      <c r="X56" s="61"/>
      <c r="Y56" s="47"/>
      <c r="Z56" s="47"/>
      <c r="AA56" s="47"/>
      <c r="AB56" s="48"/>
      <c r="AC56" s="50"/>
      <c r="AD56" s="47"/>
      <c r="AE56" s="47"/>
      <c r="AF56" s="47"/>
      <c r="AG56" s="48"/>
      <c r="AH56" s="51"/>
      <c r="AI56" s="47"/>
      <c r="AJ56" s="47"/>
      <c r="AK56" s="47"/>
      <c r="AL56" s="48"/>
      <c r="AM56" s="46">
        <v>8049.8</v>
      </c>
      <c r="AN56" s="47"/>
      <c r="AO56" s="47"/>
      <c r="AP56" s="47"/>
      <c r="AQ56" s="48"/>
      <c r="AR56" s="69">
        <v>7489.59</v>
      </c>
      <c r="AS56" s="47"/>
      <c r="AT56" s="47"/>
      <c r="AU56" s="47"/>
      <c r="AV56" s="48"/>
      <c r="AW56" s="53"/>
      <c r="AX56" s="47"/>
      <c r="AY56" s="47"/>
      <c r="AZ56" s="47"/>
      <c r="BA56" s="48"/>
      <c r="BB56" s="54"/>
      <c r="BC56" s="47"/>
      <c r="BD56" s="47"/>
      <c r="BE56" s="47"/>
      <c r="BF56" s="48"/>
      <c r="BG56" s="59"/>
      <c r="BH56" s="47"/>
      <c r="BI56" s="47"/>
      <c r="BJ56" s="47"/>
      <c r="BK56" s="56"/>
    </row>
    <row r="57" ht="21.0" customHeight="1">
      <c r="A57" s="43"/>
      <c r="B57" s="44" t="s">
        <v>118</v>
      </c>
      <c r="C57" s="44" t="s">
        <v>216</v>
      </c>
      <c r="D57" s="45">
        <v>45173.0</v>
      </c>
      <c r="E57" s="45">
        <v>45176.0</v>
      </c>
      <c r="F57" s="44" t="s">
        <v>32</v>
      </c>
      <c r="G57" s="44" t="s">
        <v>26</v>
      </c>
      <c r="H57" s="44" t="s">
        <v>21</v>
      </c>
      <c r="I57" s="60"/>
      <c r="J57" s="47"/>
      <c r="K57" s="47"/>
      <c r="L57" s="47"/>
      <c r="M57" s="48"/>
      <c r="N57" s="61"/>
      <c r="O57" s="47"/>
      <c r="P57" s="47"/>
      <c r="Q57" s="47"/>
      <c r="R57" s="47"/>
      <c r="S57" s="50"/>
      <c r="T57" s="47"/>
      <c r="U57" s="47"/>
      <c r="V57" s="47"/>
      <c r="W57" s="48"/>
      <c r="X57" s="61"/>
      <c r="Y57" s="47"/>
      <c r="Z57" s="47"/>
      <c r="AA57" s="47"/>
      <c r="AB57" s="48"/>
      <c r="AC57" s="50"/>
      <c r="AD57" s="47"/>
      <c r="AE57" s="47"/>
      <c r="AF57" s="47"/>
      <c r="AG57" s="48"/>
      <c r="AH57" s="51"/>
      <c r="AI57" s="47"/>
      <c r="AJ57" s="47"/>
      <c r="AK57" s="47"/>
      <c r="AL57" s="48"/>
      <c r="AM57" s="46">
        <v>1898.07</v>
      </c>
      <c r="AN57" s="47"/>
      <c r="AO57" s="47"/>
      <c r="AP57" s="47"/>
      <c r="AQ57" s="48"/>
      <c r="AR57" s="69" t="s">
        <v>56</v>
      </c>
      <c r="AS57" s="47"/>
      <c r="AT57" s="47"/>
      <c r="AU57" s="47"/>
      <c r="AV57" s="48"/>
      <c r="AW57" s="53"/>
      <c r="AX57" s="47"/>
      <c r="AY57" s="47"/>
      <c r="AZ57" s="47"/>
      <c r="BA57" s="48"/>
      <c r="BB57" s="54"/>
      <c r="BC57" s="47"/>
      <c r="BD57" s="47"/>
      <c r="BE57" s="47"/>
      <c r="BF57" s="48"/>
      <c r="BG57" s="59"/>
      <c r="BH57" s="47"/>
      <c r="BI57" s="47"/>
      <c r="BJ57" s="47"/>
      <c r="BK57" s="56"/>
    </row>
    <row r="58" ht="21.0" customHeight="1">
      <c r="A58" s="33"/>
      <c r="B58" s="63" t="s">
        <v>218</v>
      </c>
      <c r="C58" s="63" t="s">
        <v>12</v>
      </c>
      <c r="D58" s="64" t="s">
        <v>13</v>
      </c>
      <c r="E58" s="36"/>
      <c r="F58" s="63" t="s">
        <v>14</v>
      </c>
      <c r="G58" s="63" t="s">
        <v>15</v>
      </c>
      <c r="H58" s="63" t="s">
        <v>16</v>
      </c>
      <c r="I58" s="65"/>
      <c r="J58" s="36"/>
      <c r="K58" s="36"/>
      <c r="L58" s="36"/>
      <c r="M58" s="36"/>
      <c r="N58" s="66"/>
      <c r="O58" s="36"/>
      <c r="P58" s="36"/>
      <c r="Q58" s="36"/>
      <c r="R58" s="36"/>
      <c r="S58" s="65"/>
      <c r="T58" s="36"/>
      <c r="U58" s="36"/>
      <c r="V58" s="36"/>
      <c r="W58" s="36"/>
      <c r="X58" s="66"/>
      <c r="Y58" s="36"/>
      <c r="Z58" s="36"/>
      <c r="AA58" s="36"/>
      <c r="AB58" s="36"/>
      <c r="AC58" s="66"/>
      <c r="AD58" s="36"/>
      <c r="AE58" s="36"/>
      <c r="AF58" s="36"/>
      <c r="AG58" s="36"/>
      <c r="AH58" s="66"/>
      <c r="AI58" s="36"/>
      <c r="AJ58" s="36"/>
      <c r="AK58" s="36"/>
      <c r="AL58" s="36"/>
      <c r="AM58" s="66"/>
      <c r="AN58" s="36"/>
      <c r="AO58" s="36"/>
      <c r="AP58" s="36"/>
      <c r="AQ58" s="36"/>
      <c r="AR58" s="66"/>
      <c r="AS58" s="36"/>
      <c r="AT58" s="36"/>
      <c r="AU58" s="36"/>
      <c r="AV58" s="36"/>
      <c r="AW58" s="67"/>
      <c r="AX58" s="36"/>
      <c r="AY58" s="36"/>
      <c r="AZ58" s="36"/>
      <c r="BA58" s="36"/>
      <c r="BB58" s="68"/>
      <c r="BC58" s="36"/>
      <c r="BD58" s="36"/>
      <c r="BE58" s="36"/>
      <c r="BF58" s="36"/>
      <c r="BG58" s="68"/>
      <c r="BH58" s="36"/>
      <c r="BI58" s="36"/>
      <c r="BJ58" s="36"/>
      <c r="BK58" s="42"/>
    </row>
    <row r="59" ht="21.0" customHeight="1">
      <c r="A59" s="43"/>
      <c r="B59" s="44" t="s">
        <v>129</v>
      </c>
      <c r="C59" s="44" t="s">
        <v>130</v>
      </c>
      <c r="D59" s="45">
        <v>44872.0</v>
      </c>
      <c r="E59" s="45">
        <v>44875.0</v>
      </c>
      <c r="F59" s="44" t="s">
        <v>30</v>
      </c>
      <c r="G59" s="44" t="s">
        <v>26</v>
      </c>
      <c r="H59" s="44" t="s">
        <v>21</v>
      </c>
      <c r="I59" s="46">
        <v>995.12</v>
      </c>
      <c r="J59" s="47"/>
      <c r="K59" s="47"/>
      <c r="L59" s="47"/>
      <c r="M59" s="48"/>
      <c r="N59" s="69">
        <v>893.93</v>
      </c>
      <c r="O59" s="47"/>
      <c r="P59" s="47"/>
      <c r="Q59" s="47"/>
      <c r="R59" s="48"/>
      <c r="S59" s="50"/>
      <c r="T59" s="47"/>
      <c r="U59" s="47"/>
      <c r="V59" s="47"/>
      <c r="W59" s="48"/>
      <c r="X59" s="51"/>
      <c r="Y59" s="47"/>
      <c r="Z59" s="47"/>
      <c r="AA59" s="47"/>
      <c r="AB59" s="48"/>
      <c r="AC59" s="50"/>
      <c r="AD59" s="47"/>
      <c r="AE59" s="47"/>
      <c r="AF59" s="47"/>
      <c r="AG59" s="48"/>
      <c r="AH59" s="52"/>
      <c r="AI59" s="47"/>
      <c r="AJ59" s="47"/>
      <c r="AK59" s="47"/>
      <c r="AL59" s="48"/>
      <c r="AM59" s="50"/>
      <c r="AN59" s="47"/>
      <c r="AO59" s="47"/>
      <c r="AP59" s="47"/>
      <c r="AQ59" s="48"/>
      <c r="AR59" s="52"/>
      <c r="AS59" s="47"/>
      <c r="AT59" s="47"/>
      <c r="AU59" s="47"/>
      <c r="AV59" s="48"/>
      <c r="AW59" s="53" t="s">
        <v>219</v>
      </c>
      <c r="AX59" s="47"/>
      <c r="AY59" s="47"/>
      <c r="AZ59" s="47"/>
      <c r="BA59" s="48"/>
      <c r="BB59" s="54">
        <f>SUM(N59:R81)</f>
        <v>1588.03</v>
      </c>
      <c r="BC59" s="47"/>
      <c r="BD59" s="47"/>
      <c r="BE59" s="47"/>
      <c r="BF59" s="48"/>
      <c r="BG59" s="55" t="s">
        <v>22</v>
      </c>
      <c r="BH59" s="47"/>
      <c r="BI59" s="47"/>
      <c r="BJ59" s="47"/>
      <c r="BK59" s="56"/>
    </row>
    <row r="60" ht="21.0" customHeight="1">
      <c r="A60" s="43"/>
      <c r="B60" s="44" t="s">
        <v>140</v>
      </c>
      <c r="C60" s="44" t="s">
        <v>141</v>
      </c>
      <c r="D60" s="45">
        <v>44873.0</v>
      </c>
      <c r="E60" s="45">
        <v>44875.0</v>
      </c>
      <c r="F60" s="44" t="s">
        <v>142</v>
      </c>
      <c r="G60" s="44" t="s">
        <v>59</v>
      </c>
      <c r="H60" s="44" t="s">
        <v>27</v>
      </c>
      <c r="I60" s="46">
        <v>645.12</v>
      </c>
      <c r="J60" s="47"/>
      <c r="K60" s="47"/>
      <c r="L60" s="47"/>
      <c r="M60" s="48"/>
      <c r="N60" s="69">
        <v>607.5</v>
      </c>
      <c r="O60" s="47"/>
      <c r="P60" s="47"/>
      <c r="Q60" s="47"/>
      <c r="R60" s="48"/>
      <c r="S60" s="50"/>
      <c r="T60" s="47"/>
      <c r="U60" s="47"/>
      <c r="V60" s="47"/>
      <c r="W60" s="48"/>
      <c r="X60" s="61"/>
      <c r="Y60" s="47"/>
      <c r="Z60" s="47"/>
      <c r="AA60" s="47"/>
      <c r="AB60" s="48"/>
      <c r="AC60" s="50"/>
      <c r="AD60" s="47"/>
      <c r="AE60" s="47"/>
      <c r="AF60" s="47"/>
      <c r="AG60" s="48"/>
      <c r="AH60" s="51"/>
      <c r="AI60" s="47"/>
      <c r="AJ60" s="47"/>
      <c r="AK60" s="47"/>
      <c r="AL60" s="48"/>
      <c r="AM60" s="50"/>
      <c r="AN60" s="47"/>
      <c r="AO60" s="47"/>
      <c r="AP60" s="47"/>
      <c r="AQ60" s="48"/>
      <c r="AR60" s="52"/>
      <c r="AS60" s="47"/>
      <c r="AT60" s="47"/>
      <c r="AU60" s="47"/>
      <c r="AV60" s="48"/>
      <c r="AW60" s="53"/>
      <c r="AX60" s="47"/>
      <c r="AY60" s="47"/>
      <c r="AZ60" s="47"/>
      <c r="BA60" s="48"/>
      <c r="BB60" s="54">
        <f>SUM(X59:AB81)</f>
        <v>5108.35</v>
      </c>
      <c r="BC60" s="47"/>
      <c r="BD60" s="47"/>
      <c r="BE60" s="47"/>
      <c r="BF60" s="48"/>
      <c r="BG60" s="55" t="s">
        <v>3</v>
      </c>
      <c r="BH60" s="47"/>
      <c r="BI60" s="47"/>
      <c r="BJ60" s="47"/>
      <c r="BK60" s="56"/>
    </row>
    <row r="61" ht="21.0" customHeight="1">
      <c r="A61" s="43"/>
      <c r="B61" s="44" t="s">
        <v>146</v>
      </c>
      <c r="C61" s="44" t="s">
        <v>148</v>
      </c>
      <c r="D61" s="45">
        <v>44874.0</v>
      </c>
      <c r="E61" s="45">
        <v>44880.0</v>
      </c>
      <c r="F61" s="44" t="s">
        <v>142</v>
      </c>
      <c r="G61" s="44" t="s">
        <v>59</v>
      </c>
      <c r="H61" s="57" t="s">
        <v>60</v>
      </c>
      <c r="I61" s="46" t="s">
        <v>56</v>
      </c>
      <c r="J61" s="47"/>
      <c r="K61" s="47"/>
      <c r="L61" s="47"/>
      <c r="M61" s="48"/>
      <c r="N61" s="69">
        <v>46.8</v>
      </c>
      <c r="O61" s="47"/>
      <c r="P61" s="47"/>
      <c r="Q61" s="47"/>
      <c r="R61" s="48"/>
      <c r="S61" s="50"/>
      <c r="T61" s="47"/>
      <c r="U61" s="47"/>
      <c r="V61" s="47"/>
      <c r="W61" s="48"/>
      <c r="X61" s="61"/>
      <c r="Y61" s="47"/>
      <c r="Z61" s="47"/>
      <c r="AA61" s="47"/>
      <c r="AB61" s="48"/>
      <c r="AC61" s="50"/>
      <c r="AD61" s="47"/>
      <c r="AE61" s="47"/>
      <c r="AF61" s="47"/>
      <c r="AG61" s="48"/>
      <c r="AH61" s="52"/>
      <c r="AI61" s="47"/>
      <c r="AJ61" s="47"/>
      <c r="AK61" s="47"/>
      <c r="AL61" s="48"/>
      <c r="AM61" s="50"/>
      <c r="AN61" s="47"/>
      <c r="AO61" s="47"/>
      <c r="AP61" s="47"/>
      <c r="AQ61" s="48"/>
      <c r="AR61" s="51"/>
      <c r="AS61" s="47"/>
      <c r="AT61" s="47"/>
      <c r="AU61" s="47"/>
      <c r="AV61" s="48"/>
      <c r="AW61" s="53"/>
      <c r="AX61" s="47"/>
      <c r="AY61" s="47"/>
      <c r="AZ61" s="47"/>
      <c r="BA61" s="48"/>
      <c r="BB61" s="54">
        <f>SUM(AH59:AL81)</f>
        <v>5356.34</v>
      </c>
      <c r="BC61" s="47"/>
      <c r="BD61" s="47"/>
      <c r="BE61" s="47"/>
      <c r="BF61" s="48"/>
      <c r="BG61" s="55" t="s">
        <v>4</v>
      </c>
      <c r="BH61" s="47"/>
      <c r="BI61" s="47"/>
      <c r="BJ61" s="47"/>
      <c r="BK61" s="56"/>
    </row>
    <row r="62" ht="21.0" customHeight="1">
      <c r="A62" s="43"/>
      <c r="B62" s="44" t="s">
        <v>150</v>
      </c>
      <c r="C62" s="44" t="s">
        <v>151</v>
      </c>
      <c r="D62" s="45">
        <v>44884.0</v>
      </c>
      <c r="E62" s="45">
        <v>44885.0</v>
      </c>
      <c r="F62" s="44" t="s">
        <v>137</v>
      </c>
      <c r="G62" s="44" t="s">
        <v>59</v>
      </c>
      <c r="H62" s="57" t="s">
        <v>60</v>
      </c>
      <c r="I62" s="46" t="s">
        <v>56</v>
      </c>
      <c r="J62" s="47"/>
      <c r="K62" s="47"/>
      <c r="L62" s="47"/>
      <c r="M62" s="48"/>
      <c r="N62" s="69">
        <v>39.8</v>
      </c>
      <c r="O62" s="47"/>
      <c r="P62" s="47"/>
      <c r="Q62" s="47"/>
      <c r="R62" s="48"/>
      <c r="S62" s="50"/>
      <c r="T62" s="47"/>
      <c r="U62" s="47"/>
      <c r="V62" s="47"/>
      <c r="W62" s="48"/>
      <c r="X62" s="61"/>
      <c r="Y62" s="47"/>
      <c r="Z62" s="47"/>
      <c r="AA62" s="47"/>
      <c r="AB62" s="48"/>
      <c r="AC62" s="50"/>
      <c r="AD62" s="47"/>
      <c r="AE62" s="47"/>
      <c r="AF62" s="47"/>
      <c r="AG62" s="48"/>
      <c r="AH62" s="52"/>
      <c r="AI62" s="47"/>
      <c r="AJ62" s="47"/>
      <c r="AK62" s="47"/>
      <c r="AL62" s="48"/>
      <c r="AM62" s="50"/>
      <c r="AN62" s="47"/>
      <c r="AO62" s="47"/>
      <c r="AP62" s="47"/>
      <c r="AQ62" s="48"/>
      <c r="AR62" s="51"/>
      <c r="AS62" s="47"/>
      <c r="AT62" s="47"/>
      <c r="AU62" s="47"/>
      <c r="AV62" s="48"/>
      <c r="AW62" s="53"/>
      <c r="AX62" s="47"/>
      <c r="AY62" s="47"/>
      <c r="AZ62" s="47"/>
      <c r="BA62" s="48"/>
      <c r="BB62" s="54">
        <f>SUM(AR59:AV81)</f>
        <v>6540.61</v>
      </c>
      <c r="BC62" s="47"/>
      <c r="BD62" s="47"/>
      <c r="BE62" s="47"/>
      <c r="BF62" s="48"/>
      <c r="BG62" s="55" t="s">
        <v>5</v>
      </c>
      <c r="BH62" s="47"/>
      <c r="BI62" s="47"/>
      <c r="BJ62" s="47"/>
      <c r="BK62" s="56"/>
    </row>
    <row r="63" ht="21.0" customHeight="1">
      <c r="A63" s="43"/>
      <c r="B63" s="44" t="s">
        <v>129</v>
      </c>
      <c r="C63" s="44" t="s">
        <v>204</v>
      </c>
      <c r="D63" s="45">
        <v>44969.0</v>
      </c>
      <c r="E63" s="45">
        <v>44974.0</v>
      </c>
      <c r="F63" s="44" t="s">
        <v>30</v>
      </c>
      <c r="G63" s="44" t="s">
        <v>59</v>
      </c>
      <c r="H63" s="57" t="s">
        <v>27</v>
      </c>
      <c r="I63" s="50"/>
      <c r="J63" s="47"/>
      <c r="K63" s="47"/>
      <c r="L63" s="47"/>
      <c r="M63" s="48"/>
      <c r="N63" s="51"/>
      <c r="O63" s="47"/>
      <c r="P63" s="47"/>
      <c r="Q63" s="47"/>
      <c r="R63" s="48"/>
      <c r="S63" s="46">
        <v>1768.74</v>
      </c>
      <c r="T63" s="47"/>
      <c r="U63" s="47"/>
      <c r="V63" s="47"/>
      <c r="W63" s="48"/>
      <c r="X63" s="71">
        <v>1752.67</v>
      </c>
      <c r="Y63" s="47"/>
      <c r="Z63" s="47"/>
      <c r="AA63" s="47"/>
      <c r="AB63" s="48"/>
      <c r="AC63" s="50"/>
      <c r="AD63" s="47"/>
      <c r="AE63" s="47"/>
      <c r="AF63" s="47"/>
      <c r="AG63" s="48"/>
      <c r="AH63" s="52"/>
      <c r="AI63" s="47"/>
      <c r="AJ63" s="47"/>
      <c r="AK63" s="47"/>
      <c r="AL63" s="48"/>
      <c r="AM63" s="50"/>
      <c r="AN63" s="47"/>
      <c r="AO63" s="47"/>
      <c r="AP63" s="47"/>
      <c r="AQ63" s="48"/>
      <c r="AR63" s="51"/>
      <c r="AS63" s="47"/>
      <c r="AT63" s="47"/>
      <c r="AU63" s="47"/>
      <c r="AV63" s="48"/>
      <c r="AW63" s="53"/>
      <c r="AX63" s="47"/>
      <c r="AY63" s="47"/>
      <c r="AZ63" s="47"/>
      <c r="BA63" s="48"/>
      <c r="BB63" s="54"/>
      <c r="BC63" s="47"/>
      <c r="BD63" s="47"/>
      <c r="BE63" s="47"/>
      <c r="BF63" s="48"/>
      <c r="BG63" s="55"/>
      <c r="BH63" s="47"/>
      <c r="BI63" s="47"/>
      <c r="BJ63" s="47"/>
      <c r="BK63" s="56"/>
    </row>
    <row r="64" ht="21.0" customHeight="1">
      <c r="A64" s="43"/>
      <c r="B64" s="44" t="s">
        <v>146</v>
      </c>
      <c r="C64" s="44" t="s">
        <v>204</v>
      </c>
      <c r="D64" s="45">
        <v>44971.0</v>
      </c>
      <c r="E64" s="45">
        <v>44973.0</v>
      </c>
      <c r="F64" s="44" t="s">
        <v>30</v>
      </c>
      <c r="G64" s="44" t="s">
        <v>59</v>
      </c>
      <c r="H64" s="57" t="s">
        <v>27</v>
      </c>
      <c r="I64" s="50"/>
      <c r="J64" s="47"/>
      <c r="K64" s="47"/>
      <c r="L64" s="47"/>
      <c r="M64" s="48"/>
      <c r="N64" s="51"/>
      <c r="O64" s="47"/>
      <c r="P64" s="47"/>
      <c r="Q64" s="47"/>
      <c r="R64" s="48"/>
      <c r="S64" s="46">
        <v>728.12</v>
      </c>
      <c r="T64" s="47"/>
      <c r="U64" s="47"/>
      <c r="V64" s="47"/>
      <c r="W64" s="48"/>
      <c r="X64" s="71">
        <v>662.12</v>
      </c>
      <c r="Y64" s="47"/>
      <c r="Z64" s="47"/>
      <c r="AA64" s="47"/>
      <c r="AB64" s="48"/>
      <c r="AC64" s="50"/>
      <c r="AD64" s="47"/>
      <c r="AE64" s="47"/>
      <c r="AF64" s="47"/>
      <c r="AG64" s="48"/>
      <c r="AH64" s="52"/>
      <c r="AI64" s="47"/>
      <c r="AJ64" s="47"/>
      <c r="AK64" s="47"/>
      <c r="AL64" s="48"/>
      <c r="AM64" s="50"/>
      <c r="AN64" s="47"/>
      <c r="AO64" s="47"/>
      <c r="AP64" s="47"/>
      <c r="AQ64" s="48"/>
      <c r="AR64" s="51"/>
      <c r="AS64" s="47"/>
      <c r="AT64" s="47"/>
      <c r="AU64" s="47"/>
      <c r="AV64" s="48"/>
      <c r="AW64" s="53"/>
      <c r="AX64" s="47"/>
      <c r="AY64" s="47"/>
      <c r="AZ64" s="47"/>
      <c r="BA64" s="48"/>
      <c r="BB64" s="54"/>
      <c r="BC64" s="47"/>
      <c r="BD64" s="47"/>
      <c r="BE64" s="47"/>
      <c r="BF64" s="48"/>
      <c r="BG64" s="55"/>
      <c r="BH64" s="47"/>
      <c r="BI64" s="47"/>
      <c r="BJ64" s="47"/>
      <c r="BK64" s="56"/>
    </row>
    <row r="65" ht="21.0" customHeight="1">
      <c r="A65" s="43"/>
      <c r="B65" s="44" t="s">
        <v>150</v>
      </c>
      <c r="C65" s="44" t="s">
        <v>205</v>
      </c>
      <c r="D65" s="45">
        <v>44978.0</v>
      </c>
      <c r="E65" s="45">
        <v>44979.0</v>
      </c>
      <c r="F65" s="44" t="s">
        <v>209</v>
      </c>
      <c r="G65" s="44" t="s">
        <v>59</v>
      </c>
      <c r="H65" s="57" t="s">
        <v>27</v>
      </c>
      <c r="I65" s="50"/>
      <c r="J65" s="47"/>
      <c r="K65" s="47"/>
      <c r="L65" s="47"/>
      <c r="M65" s="48"/>
      <c r="N65" s="51"/>
      <c r="O65" s="47"/>
      <c r="P65" s="47"/>
      <c r="Q65" s="47"/>
      <c r="R65" s="48"/>
      <c r="S65" s="46">
        <v>250.43</v>
      </c>
      <c r="T65" s="47"/>
      <c r="U65" s="47"/>
      <c r="V65" s="47"/>
      <c r="W65" s="48"/>
      <c r="X65" s="71">
        <v>250.43</v>
      </c>
      <c r="Y65" s="47"/>
      <c r="Z65" s="47"/>
      <c r="AA65" s="47"/>
      <c r="AB65" s="48"/>
      <c r="AC65" s="50"/>
      <c r="AD65" s="47"/>
      <c r="AE65" s="47"/>
      <c r="AF65" s="47"/>
      <c r="AG65" s="48"/>
      <c r="AH65" s="52"/>
      <c r="AI65" s="47"/>
      <c r="AJ65" s="47"/>
      <c r="AK65" s="47"/>
      <c r="AL65" s="48"/>
      <c r="AM65" s="50"/>
      <c r="AN65" s="47"/>
      <c r="AO65" s="47"/>
      <c r="AP65" s="47"/>
      <c r="AQ65" s="48"/>
      <c r="AR65" s="51"/>
      <c r="AS65" s="47"/>
      <c r="AT65" s="47"/>
      <c r="AU65" s="47"/>
      <c r="AV65" s="48"/>
      <c r="AW65" s="53"/>
      <c r="AX65" s="47"/>
      <c r="AY65" s="47"/>
      <c r="AZ65" s="47"/>
      <c r="BA65" s="48"/>
      <c r="BB65" s="54"/>
      <c r="BC65" s="47"/>
      <c r="BD65" s="47"/>
      <c r="BE65" s="47"/>
      <c r="BF65" s="48"/>
      <c r="BG65" s="55"/>
      <c r="BH65" s="47"/>
      <c r="BI65" s="47"/>
      <c r="BJ65" s="47"/>
      <c r="BK65" s="56"/>
    </row>
    <row r="66" ht="21.0" customHeight="1">
      <c r="A66" s="43"/>
      <c r="B66" s="44" t="s">
        <v>129</v>
      </c>
      <c r="C66" s="44" t="s">
        <v>236</v>
      </c>
      <c r="D66" s="45">
        <v>45005.0</v>
      </c>
      <c r="E66" s="45">
        <v>45009.0</v>
      </c>
      <c r="F66" s="44" t="s">
        <v>19</v>
      </c>
      <c r="G66" s="44" t="s">
        <v>26</v>
      </c>
      <c r="H66" s="57" t="s">
        <v>21</v>
      </c>
      <c r="I66" s="50"/>
      <c r="J66" s="47"/>
      <c r="K66" s="47"/>
      <c r="L66" s="47"/>
      <c r="M66" s="48"/>
      <c r="N66" s="51"/>
      <c r="O66" s="47"/>
      <c r="P66" s="47"/>
      <c r="Q66" s="47"/>
      <c r="R66" s="48"/>
      <c r="S66" s="46">
        <v>2491.02</v>
      </c>
      <c r="T66" s="47"/>
      <c r="U66" s="47"/>
      <c r="V66" s="47"/>
      <c r="W66" s="48"/>
      <c r="X66" s="71">
        <v>2443.13</v>
      </c>
      <c r="Y66" s="47"/>
      <c r="Z66" s="47"/>
      <c r="AA66" s="47"/>
      <c r="AB66" s="48"/>
      <c r="AC66" s="50"/>
      <c r="AD66" s="47"/>
      <c r="AE66" s="47"/>
      <c r="AF66" s="47"/>
      <c r="AG66" s="48"/>
      <c r="AH66" s="52"/>
      <c r="AI66" s="47"/>
      <c r="AJ66" s="47"/>
      <c r="AK66" s="47"/>
      <c r="AL66" s="48"/>
      <c r="AM66" s="50"/>
      <c r="AN66" s="47"/>
      <c r="AO66" s="47"/>
      <c r="AP66" s="47"/>
      <c r="AQ66" s="48"/>
      <c r="AR66" s="51"/>
      <c r="AS66" s="47"/>
      <c r="AT66" s="47"/>
      <c r="AU66" s="47"/>
      <c r="AV66" s="48"/>
      <c r="AW66" s="53"/>
      <c r="AX66" s="47"/>
      <c r="AY66" s="47"/>
      <c r="AZ66" s="47"/>
      <c r="BA66" s="48"/>
      <c r="BB66" s="54"/>
      <c r="BC66" s="47"/>
      <c r="BD66" s="47"/>
      <c r="BE66" s="47"/>
      <c r="BF66" s="48"/>
      <c r="BG66" s="55"/>
      <c r="BH66" s="47"/>
      <c r="BI66" s="47"/>
      <c r="BJ66" s="47"/>
      <c r="BK66" s="56"/>
    </row>
    <row r="67" ht="21.0" customHeight="1">
      <c r="A67" s="43"/>
      <c r="B67" s="44" t="s">
        <v>140</v>
      </c>
      <c r="C67" s="44" t="s">
        <v>239</v>
      </c>
      <c r="D67" s="45">
        <v>45032.0</v>
      </c>
      <c r="E67" s="45">
        <v>45035.0</v>
      </c>
      <c r="F67" s="44" t="s">
        <v>155</v>
      </c>
      <c r="G67" s="44" t="s">
        <v>84</v>
      </c>
      <c r="H67" s="57" t="s">
        <v>124</v>
      </c>
      <c r="I67" s="50"/>
      <c r="J67" s="47"/>
      <c r="K67" s="47"/>
      <c r="L67" s="47"/>
      <c r="M67" s="48"/>
      <c r="N67" s="51"/>
      <c r="O67" s="47"/>
      <c r="P67" s="47"/>
      <c r="Q67" s="47"/>
      <c r="R67" s="48"/>
      <c r="S67" s="50"/>
      <c r="T67" s="47"/>
      <c r="U67" s="47"/>
      <c r="V67" s="47"/>
      <c r="W67" s="48"/>
      <c r="X67" s="61"/>
      <c r="Y67" s="47"/>
      <c r="Z67" s="47"/>
      <c r="AA67" s="47"/>
      <c r="AB67" s="48"/>
      <c r="AC67" s="46">
        <v>1391.97</v>
      </c>
      <c r="AD67" s="47"/>
      <c r="AE67" s="47"/>
      <c r="AF67" s="47"/>
      <c r="AG67" s="48"/>
      <c r="AH67" s="69">
        <v>1356.13</v>
      </c>
      <c r="AI67" s="47"/>
      <c r="AJ67" s="47"/>
      <c r="AK67" s="47"/>
      <c r="AL67" s="48"/>
      <c r="AM67" s="50"/>
      <c r="AN67" s="47"/>
      <c r="AO67" s="47"/>
      <c r="AP67" s="47"/>
      <c r="AQ67" s="48"/>
      <c r="AR67" s="51"/>
      <c r="AS67" s="47"/>
      <c r="AT67" s="47"/>
      <c r="AU67" s="47"/>
      <c r="AV67" s="48"/>
      <c r="AW67" s="53"/>
      <c r="AX67" s="47"/>
      <c r="AY67" s="47"/>
      <c r="AZ67" s="47"/>
      <c r="BA67" s="48"/>
      <c r="BB67" s="54"/>
      <c r="BC67" s="47"/>
      <c r="BD67" s="47"/>
      <c r="BE67" s="47"/>
      <c r="BF67" s="48"/>
      <c r="BG67" s="55"/>
      <c r="BH67" s="47"/>
      <c r="BI67" s="47"/>
      <c r="BJ67" s="47"/>
      <c r="BK67" s="56"/>
    </row>
    <row r="68" ht="21.0" customHeight="1">
      <c r="A68" s="43"/>
      <c r="B68" s="44" t="s">
        <v>129</v>
      </c>
      <c r="C68" s="44" t="s">
        <v>96</v>
      </c>
      <c r="D68" s="102">
        <v>45033.0</v>
      </c>
      <c r="E68" s="45">
        <v>45036.0</v>
      </c>
      <c r="F68" s="44" t="s">
        <v>97</v>
      </c>
      <c r="G68" s="44" t="s">
        <v>26</v>
      </c>
      <c r="H68" s="57" t="s">
        <v>21</v>
      </c>
      <c r="I68" s="50"/>
      <c r="J68" s="47"/>
      <c r="K68" s="47"/>
      <c r="L68" s="47"/>
      <c r="M68" s="48"/>
      <c r="N68" s="51"/>
      <c r="O68" s="47"/>
      <c r="P68" s="47"/>
      <c r="Q68" s="47"/>
      <c r="R68" s="48"/>
      <c r="S68" s="50"/>
      <c r="T68" s="47"/>
      <c r="U68" s="47"/>
      <c r="V68" s="47"/>
      <c r="W68" s="48"/>
      <c r="X68" s="61"/>
      <c r="Y68" s="47"/>
      <c r="Z68" s="47"/>
      <c r="AA68" s="47"/>
      <c r="AB68" s="48"/>
      <c r="AC68" s="46">
        <v>1445.68</v>
      </c>
      <c r="AD68" s="47"/>
      <c r="AE68" s="47"/>
      <c r="AF68" s="47"/>
      <c r="AG68" s="48"/>
      <c r="AH68" s="69">
        <v>1262.48</v>
      </c>
      <c r="AI68" s="47"/>
      <c r="AJ68" s="47"/>
      <c r="AK68" s="47"/>
      <c r="AL68" s="48"/>
      <c r="AM68" s="50"/>
      <c r="AN68" s="47"/>
      <c r="AO68" s="47"/>
      <c r="AP68" s="47"/>
      <c r="AQ68" s="48"/>
      <c r="AR68" s="51"/>
      <c r="AS68" s="47"/>
      <c r="AT68" s="47"/>
      <c r="AU68" s="47"/>
      <c r="AV68" s="48"/>
      <c r="AW68" s="53"/>
      <c r="AX68" s="47"/>
      <c r="AY68" s="47"/>
      <c r="AZ68" s="47"/>
      <c r="BA68" s="48"/>
      <c r="BB68" s="54"/>
      <c r="BC68" s="47"/>
      <c r="BD68" s="47"/>
      <c r="BE68" s="47"/>
      <c r="BF68" s="48"/>
      <c r="BG68" s="55"/>
      <c r="BH68" s="47"/>
      <c r="BI68" s="47"/>
      <c r="BJ68" s="47"/>
      <c r="BK68" s="56"/>
    </row>
    <row r="69" ht="21.0" customHeight="1">
      <c r="A69" s="43"/>
      <c r="B69" s="44" t="s">
        <v>146</v>
      </c>
      <c r="C69" s="44" t="s">
        <v>245</v>
      </c>
      <c r="D69" s="45">
        <v>45020.0</v>
      </c>
      <c r="E69" s="45">
        <v>45022.0</v>
      </c>
      <c r="F69" s="44" t="s">
        <v>30</v>
      </c>
      <c r="G69" s="44" t="s">
        <v>59</v>
      </c>
      <c r="H69" s="57" t="s">
        <v>27</v>
      </c>
      <c r="I69" s="50"/>
      <c r="J69" s="47"/>
      <c r="K69" s="47"/>
      <c r="L69" s="47"/>
      <c r="M69" s="48"/>
      <c r="N69" s="51"/>
      <c r="O69" s="47"/>
      <c r="P69" s="47"/>
      <c r="Q69" s="47"/>
      <c r="R69" s="48"/>
      <c r="S69" s="50"/>
      <c r="T69" s="47"/>
      <c r="U69" s="47"/>
      <c r="V69" s="47"/>
      <c r="W69" s="48"/>
      <c r="X69" s="61"/>
      <c r="Y69" s="47"/>
      <c r="Z69" s="47"/>
      <c r="AA69" s="47"/>
      <c r="AB69" s="48"/>
      <c r="AC69" s="46">
        <v>700.12</v>
      </c>
      <c r="AD69" s="47"/>
      <c r="AE69" s="47"/>
      <c r="AF69" s="47"/>
      <c r="AG69" s="48"/>
      <c r="AH69" s="69">
        <v>671.42</v>
      </c>
      <c r="AI69" s="47"/>
      <c r="AJ69" s="47"/>
      <c r="AK69" s="47"/>
      <c r="AL69" s="48"/>
      <c r="AM69" s="50"/>
      <c r="AN69" s="47"/>
      <c r="AO69" s="47"/>
      <c r="AP69" s="47"/>
      <c r="AQ69" s="48"/>
      <c r="AR69" s="51"/>
      <c r="AS69" s="47"/>
      <c r="AT69" s="47"/>
      <c r="AU69" s="47"/>
      <c r="AV69" s="48"/>
      <c r="AW69" s="53"/>
      <c r="AX69" s="47"/>
      <c r="AY69" s="47"/>
      <c r="AZ69" s="47"/>
      <c r="BA69" s="48"/>
      <c r="BB69" s="54"/>
      <c r="BC69" s="47"/>
      <c r="BD69" s="47"/>
      <c r="BE69" s="47"/>
      <c r="BF69" s="48"/>
      <c r="BG69" s="55"/>
      <c r="BH69" s="47"/>
      <c r="BI69" s="47"/>
      <c r="BJ69" s="47"/>
      <c r="BK69" s="56"/>
    </row>
    <row r="70" ht="21.0" customHeight="1">
      <c r="A70" s="43"/>
      <c r="B70" s="44" t="s">
        <v>129</v>
      </c>
      <c r="C70" s="44" t="s">
        <v>130</v>
      </c>
      <c r="D70" s="45">
        <v>45047.0</v>
      </c>
      <c r="E70" s="45">
        <v>45051.0</v>
      </c>
      <c r="F70" s="44" t="s">
        <v>50</v>
      </c>
      <c r="G70" s="44" t="s">
        <v>26</v>
      </c>
      <c r="H70" s="57" t="s">
        <v>21</v>
      </c>
      <c r="I70" s="50"/>
      <c r="J70" s="47"/>
      <c r="K70" s="47"/>
      <c r="L70" s="47"/>
      <c r="M70" s="48"/>
      <c r="N70" s="51"/>
      <c r="O70" s="47"/>
      <c r="P70" s="47"/>
      <c r="Q70" s="47"/>
      <c r="R70" s="48"/>
      <c r="S70" s="50"/>
      <c r="T70" s="47"/>
      <c r="U70" s="47"/>
      <c r="V70" s="47"/>
      <c r="W70" s="48"/>
      <c r="X70" s="61"/>
      <c r="Y70" s="47"/>
      <c r="Z70" s="47"/>
      <c r="AA70" s="47"/>
      <c r="AB70" s="48"/>
      <c r="AC70" s="46">
        <v>1448.13</v>
      </c>
      <c r="AD70" s="47"/>
      <c r="AE70" s="47"/>
      <c r="AF70" s="47"/>
      <c r="AG70" s="48"/>
      <c r="AH70" s="69">
        <v>1319.64</v>
      </c>
      <c r="AI70" s="47"/>
      <c r="AJ70" s="47"/>
      <c r="AK70" s="47"/>
      <c r="AL70" s="48"/>
      <c r="AM70" s="50"/>
      <c r="AN70" s="47"/>
      <c r="AO70" s="47"/>
      <c r="AP70" s="47"/>
      <c r="AQ70" s="48"/>
      <c r="AR70" s="51"/>
      <c r="AS70" s="47"/>
      <c r="AT70" s="47"/>
      <c r="AU70" s="47"/>
      <c r="AV70" s="48"/>
      <c r="AW70" s="53"/>
      <c r="AX70" s="47"/>
      <c r="AY70" s="47"/>
      <c r="AZ70" s="47"/>
      <c r="BA70" s="48"/>
      <c r="BB70" s="54"/>
      <c r="BC70" s="47"/>
      <c r="BD70" s="47"/>
      <c r="BE70" s="47"/>
      <c r="BF70" s="48"/>
      <c r="BG70" s="55"/>
      <c r="BH70" s="47"/>
      <c r="BI70" s="47"/>
      <c r="BJ70" s="47"/>
      <c r="BK70" s="56"/>
    </row>
    <row r="71" ht="21.0" customHeight="1">
      <c r="A71" s="43"/>
      <c r="B71" s="44" t="s">
        <v>150</v>
      </c>
      <c r="C71" s="44" t="s">
        <v>205</v>
      </c>
      <c r="D71" s="45">
        <v>45063.0</v>
      </c>
      <c r="E71" s="45">
        <v>45064.0</v>
      </c>
      <c r="F71" s="44" t="s">
        <v>209</v>
      </c>
      <c r="G71" s="44" t="s">
        <v>59</v>
      </c>
      <c r="H71" s="57" t="s">
        <v>27</v>
      </c>
      <c r="I71" s="50"/>
      <c r="J71" s="47"/>
      <c r="K71" s="47"/>
      <c r="L71" s="47"/>
      <c r="M71" s="48"/>
      <c r="N71" s="51"/>
      <c r="O71" s="47"/>
      <c r="P71" s="47"/>
      <c r="Q71" s="47"/>
      <c r="R71" s="48"/>
      <c r="S71" s="50"/>
      <c r="T71" s="47"/>
      <c r="U71" s="47"/>
      <c r="V71" s="47"/>
      <c r="W71" s="48"/>
      <c r="X71" s="61"/>
      <c r="Y71" s="47"/>
      <c r="Z71" s="47"/>
      <c r="AA71" s="47"/>
      <c r="AB71" s="48"/>
      <c r="AC71" s="46">
        <v>250.43</v>
      </c>
      <c r="AD71" s="47"/>
      <c r="AE71" s="47"/>
      <c r="AF71" s="47"/>
      <c r="AG71" s="48"/>
      <c r="AH71" s="69">
        <v>250.43</v>
      </c>
      <c r="AI71" s="47"/>
      <c r="AJ71" s="47"/>
      <c r="AK71" s="47"/>
      <c r="AL71" s="48"/>
      <c r="AM71" s="50"/>
      <c r="AN71" s="47"/>
      <c r="AO71" s="47"/>
      <c r="AP71" s="47"/>
      <c r="AQ71" s="48"/>
      <c r="AR71" s="51"/>
      <c r="AS71" s="47"/>
      <c r="AT71" s="47"/>
      <c r="AU71" s="47"/>
      <c r="AV71" s="48"/>
      <c r="AW71" s="53"/>
      <c r="AX71" s="47"/>
      <c r="AY71" s="47"/>
      <c r="AZ71" s="47"/>
      <c r="BA71" s="48"/>
      <c r="BB71" s="54"/>
      <c r="BC71" s="47"/>
      <c r="BD71" s="47"/>
      <c r="BE71" s="47"/>
      <c r="BF71" s="48"/>
      <c r="BG71" s="55"/>
      <c r="BH71" s="47"/>
      <c r="BI71" s="47"/>
      <c r="BJ71" s="47"/>
      <c r="BK71" s="56"/>
    </row>
    <row r="72" ht="21.0" customHeight="1">
      <c r="A72" s="43"/>
      <c r="B72" s="44" t="s">
        <v>252</v>
      </c>
      <c r="C72" s="44" t="s">
        <v>253</v>
      </c>
      <c r="D72" s="45">
        <v>45097.0</v>
      </c>
      <c r="E72" s="45">
        <v>45099.0</v>
      </c>
      <c r="F72" s="44" t="s">
        <v>155</v>
      </c>
      <c r="G72" s="44" t="s">
        <v>59</v>
      </c>
      <c r="H72" s="57" t="s">
        <v>27</v>
      </c>
      <c r="I72" s="50"/>
      <c r="J72" s="47"/>
      <c r="K72" s="47"/>
      <c r="L72" s="47"/>
      <c r="M72" s="48"/>
      <c r="N72" s="51"/>
      <c r="O72" s="47"/>
      <c r="P72" s="47"/>
      <c r="Q72" s="47"/>
      <c r="R72" s="48"/>
      <c r="S72" s="50"/>
      <c r="T72" s="47"/>
      <c r="U72" s="47"/>
      <c r="V72" s="47"/>
      <c r="W72" s="48"/>
      <c r="X72" s="61"/>
      <c r="Y72" s="47"/>
      <c r="Z72" s="47"/>
      <c r="AA72" s="47"/>
      <c r="AB72" s="48"/>
      <c r="AC72" s="46">
        <v>516.24</v>
      </c>
      <c r="AD72" s="47"/>
      <c r="AE72" s="47"/>
      <c r="AF72" s="47"/>
      <c r="AG72" s="48"/>
      <c r="AH72" s="69">
        <v>496.24</v>
      </c>
      <c r="AI72" s="47"/>
      <c r="AJ72" s="47"/>
      <c r="AK72" s="47"/>
      <c r="AL72" s="48"/>
      <c r="AM72" s="50"/>
      <c r="AN72" s="47"/>
      <c r="AO72" s="47"/>
      <c r="AP72" s="47"/>
      <c r="AQ72" s="48"/>
      <c r="AR72" s="51"/>
      <c r="AS72" s="47"/>
      <c r="AT72" s="47"/>
      <c r="AU72" s="47"/>
      <c r="AV72" s="48"/>
      <c r="AW72" s="53"/>
      <c r="AX72" s="47"/>
      <c r="AY72" s="47"/>
      <c r="AZ72" s="47"/>
      <c r="BA72" s="48"/>
      <c r="BB72" s="54"/>
      <c r="BC72" s="47"/>
      <c r="BD72" s="47"/>
      <c r="BE72" s="47"/>
      <c r="BF72" s="48"/>
      <c r="BG72" s="55"/>
      <c r="BH72" s="47"/>
      <c r="BI72" s="47"/>
      <c r="BJ72" s="47"/>
      <c r="BK72" s="56"/>
    </row>
    <row r="73" ht="21.0" customHeight="1">
      <c r="A73" s="43"/>
      <c r="B73" s="44" t="s">
        <v>140</v>
      </c>
      <c r="C73" s="44" t="s">
        <v>257</v>
      </c>
      <c r="D73" s="45">
        <v>45124.0</v>
      </c>
      <c r="E73" s="45">
        <v>45128.0</v>
      </c>
      <c r="F73" s="44" t="s">
        <v>258</v>
      </c>
      <c r="G73" s="44" t="s">
        <v>26</v>
      </c>
      <c r="H73" s="44" t="s">
        <v>21</v>
      </c>
      <c r="I73" s="60"/>
      <c r="J73" s="47"/>
      <c r="K73" s="47"/>
      <c r="L73" s="47"/>
      <c r="M73" s="48"/>
      <c r="N73" s="61"/>
      <c r="O73" s="47"/>
      <c r="P73" s="47"/>
      <c r="Q73" s="47"/>
      <c r="R73" s="47"/>
      <c r="S73" s="50"/>
      <c r="T73" s="47"/>
      <c r="U73" s="47"/>
      <c r="V73" s="47"/>
      <c r="W73" s="48"/>
      <c r="X73" s="61"/>
      <c r="Y73" s="47"/>
      <c r="Z73" s="47"/>
      <c r="AA73" s="47"/>
      <c r="AB73" s="48"/>
      <c r="AC73" s="50"/>
      <c r="AD73" s="47"/>
      <c r="AE73" s="47"/>
      <c r="AF73" s="47"/>
      <c r="AG73" s="48"/>
      <c r="AH73" s="51"/>
      <c r="AI73" s="47"/>
      <c r="AJ73" s="47"/>
      <c r="AK73" s="47"/>
      <c r="AL73" s="48"/>
      <c r="AM73" s="46">
        <v>1486.28</v>
      </c>
      <c r="AN73" s="47"/>
      <c r="AO73" s="47"/>
      <c r="AP73" s="47"/>
      <c r="AQ73" s="48"/>
      <c r="AR73" s="69">
        <v>1953.76</v>
      </c>
      <c r="AS73" s="47"/>
      <c r="AT73" s="47"/>
      <c r="AU73" s="47"/>
      <c r="AV73" s="48"/>
      <c r="AW73" s="53"/>
      <c r="AX73" s="47"/>
      <c r="AY73" s="47"/>
      <c r="AZ73" s="47"/>
      <c r="BA73" s="48"/>
      <c r="BB73" s="54"/>
      <c r="BC73" s="47"/>
      <c r="BD73" s="47"/>
      <c r="BE73" s="47"/>
      <c r="BF73" s="48"/>
      <c r="BG73" s="55"/>
      <c r="BH73" s="47"/>
      <c r="BI73" s="47"/>
      <c r="BJ73" s="47"/>
      <c r="BK73" s="56"/>
    </row>
    <row r="74" ht="21.0" customHeight="1">
      <c r="A74" s="43"/>
      <c r="B74" s="44" t="s">
        <v>252</v>
      </c>
      <c r="C74" s="44" t="s">
        <v>205</v>
      </c>
      <c r="D74" s="45">
        <v>41101.0</v>
      </c>
      <c r="E74" s="45">
        <v>45119.0</v>
      </c>
      <c r="F74" s="44" t="s">
        <v>259</v>
      </c>
      <c r="G74" s="44" t="s">
        <v>59</v>
      </c>
      <c r="H74" s="44" t="s">
        <v>27</v>
      </c>
      <c r="I74" s="60"/>
      <c r="J74" s="47"/>
      <c r="K74" s="47"/>
      <c r="L74" s="47"/>
      <c r="M74" s="48"/>
      <c r="N74" s="61"/>
      <c r="O74" s="47"/>
      <c r="P74" s="47"/>
      <c r="Q74" s="47"/>
      <c r="R74" s="47"/>
      <c r="S74" s="50"/>
      <c r="T74" s="47"/>
      <c r="U74" s="47"/>
      <c r="V74" s="47"/>
      <c r="W74" s="48"/>
      <c r="X74" s="61"/>
      <c r="Y74" s="47"/>
      <c r="Z74" s="47"/>
      <c r="AA74" s="47"/>
      <c r="AB74" s="48"/>
      <c r="AC74" s="50"/>
      <c r="AD74" s="47"/>
      <c r="AE74" s="47"/>
      <c r="AF74" s="47"/>
      <c r="AG74" s="48"/>
      <c r="AH74" s="51"/>
      <c r="AI74" s="47"/>
      <c r="AJ74" s="47"/>
      <c r="AK74" s="47"/>
      <c r="AL74" s="48"/>
      <c r="AM74" s="46">
        <v>353.62</v>
      </c>
      <c r="AN74" s="47"/>
      <c r="AO74" s="47"/>
      <c r="AP74" s="47"/>
      <c r="AQ74" s="48"/>
      <c r="AR74" s="69">
        <v>308.62</v>
      </c>
      <c r="AS74" s="47"/>
      <c r="AT74" s="47"/>
      <c r="AU74" s="47"/>
      <c r="AV74" s="48"/>
      <c r="AW74" s="53"/>
      <c r="AX74" s="47"/>
      <c r="AY74" s="47"/>
      <c r="AZ74" s="47"/>
      <c r="BA74" s="48"/>
      <c r="BB74" s="54"/>
      <c r="BC74" s="47"/>
      <c r="BD74" s="47"/>
      <c r="BE74" s="47"/>
      <c r="BF74" s="48"/>
      <c r="BG74" s="55"/>
      <c r="BH74" s="47"/>
      <c r="BI74" s="47"/>
      <c r="BJ74" s="47"/>
      <c r="BK74" s="56"/>
    </row>
    <row r="75" ht="21.0" customHeight="1">
      <c r="A75" s="43"/>
      <c r="B75" s="44" t="s">
        <v>146</v>
      </c>
      <c r="C75" s="44" t="s">
        <v>260</v>
      </c>
      <c r="D75" s="45">
        <v>45133.0</v>
      </c>
      <c r="E75" s="45">
        <v>45135.0</v>
      </c>
      <c r="F75" s="44" t="s">
        <v>30</v>
      </c>
      <c r="G75" s="44" t="s">
        <v>59</v>
      </c>
      <c r="H75" s="44" t="s">
        <v>27</v>
      </c>
      <c r="I75" s="60"/>
      <c r="J75" s="47"/>
      <c r="K75" s="47"/>
      <c r="L75" s="47"/>
      <c r="M75" s="48"/>
      <c r="N75" s="61"/>
      <c r="O75" s="47"/>
      <c r="P75" s="47"/>
      <c r="Q75" s="47"/>
      <c r="R75" s="47"/>
      <c r="S75" s="50"/>
      <c r="T75" s="47"/>
      <c r="U75" s="47"/>
      <c r="V75" s="47"/>
      <c r="W75" s="48"/>
      <c r="X75" s="61"/>
      <c r="Y75" s="47"/>
      <c r="Z75" s="47"/>
      <c r="AA75" s="47"/>
      <c r="AB75" s="48"/>
      <c r="AC75" s="50"/>
      <c r="AD75" s="47"/>
      <c r="AE75" s="47"/>
      <c r="AF75" s="47"/>
      <c r="AG75" s="48"/>
      <c r="AH75" s="51"/>
      <c r="AI75" s="47"/>
      <c r="AJ75" s="47"/>
      <c r="AK75" s="47"/>
      <c r="AL75" s="48"/>
      <c r="AM75" s="46">
        <v>781.12</v>
      </c>
      <c r="AN75" s="47"/>
      <c r="AO75" s="47"/>
      <c r="AP75" s="47"/>
      <c r="AQ75" s="48"/>
      <c r="AR75" s="69">
        <v>641.12</v>
      </c>
      <c r="AS75" s="47"/>
      <c r="AT75" s="47"/>
      <c r="AU75" s="47"/>
      <c r="AV75" s="48"/>
      <c r="AW75" s="53"/>
      <c r="AX75" s="47"/>
      <c r="AY75" s="47"/>
      <c r="AZ75" s="47"/>
      <c r="BA75" s="48"/>
      <c r="BB75" s="54"/>
      <c r="BC75" s="47"/>
      <c r="BD75" s="47"/>
      <c r="BE75" s="47"/>
      <c r="BF75" s="48"/>
      <c r="BG75" s="55"/>
      <c r="BH75" s="47"/>
      <c r="BI75" s="47"/>
      <c r="BJ75" s="47"/>
      <c r="BK75" s="56"/>
    </row>
    <row r="76" ht="21.0" customHeight="1">
      <c r="A76" s="43"/>
      <c r="B76" s="44" t="s">
        <v>150</v>
      </c>
      <c r="C76" s="44" t="s">
        <v>205</v>
      </c>
      <c r="D76" s="45">
        <v>45180.0</v>
      </c>
      <c r="E76" s="45">
        <v>45181.0</v>
      </c>
      <c r="F76" s="44" t="s">
        <v>262</v>
      </c>
      <c r="G76" s="44" t="s">
        <v>59</v>
      </c>
      <c r="H76" s="57" t="s">
        <v>27</v>
      </c>
      <c r="I76" s="50"/>
      <c r="J76" s="47"/>
      <c r="K76" s="47"/>
      <c r="L76" s="47"/>
      <c r="M76" s="48"/>
      <c r="N76" s="51"/>
      <c r="O76" s="47"/>
      <c r="P76" s="47"/>
      <c r="Q76" s="47"/>
      <c r="R76" s="48"/>
      <c r="S76" s="50"/>
      <c r="T76" s="47"/>
      <c r="U76" s="47"/>
      <c r="V76" s="47"/>
      <c r="W76" s="48"/>
      <c r="X76" s="61"/>
      <c r="Y76" s="47"/>
      <c r="Z76" s="47"/>
      <c r="AA76" s="47"/>
      <c r="AB76" s="48"/>
      <c r="AC76" s="50"/>
      <c r="AD76" s="47"/>
      <c r="AE76" s="47"/>
      <c r="AF76" s="47"/>
      <c r="AG76" s="48"/>
      <c r="AH76" s="52"/>
      <c r="AI76" s="47"/>
      <c r="AJ76" s="47"/>
      <c r="AK76" s="47"/>
      <c r="AL76" s="48"/>
      <c r="AM76" s="46">
        <v>396.94</v>
      </c>
      <c r="AN76" s="47"/>
      <c r="AO76" s="47"/>
      <c r="AP76" s="47"/>
      <c r="AQ76" s="48"/>
      <c r="AR76" s="69">
        <v>375.81</v>
      </c>
      <c r="AS76" s="47"/>
      <c r="AT76" s="47"/>
      <c r="AU76" s="47"/>
      <c r="AV76" s="48"/>
      <c r="AW76" s="53"/>
      <c r="AX76" s="47"/>
      <c r="AY76" s="47"/>
      <c r="AZ76" s="47"/>
      <c r="BA76" s="48"/>
      <c r="BB76" s="54"/>
      <c r="BC76" s="47"/>
      <c r="BD76" s="47"/>
      <c r="BE76" s="47"/>
      <c r="BF76" s="48"/>
      <c r="BG76" s="55"/>
      <c r="BH76" s="47"/>
      <c r="BI76" s="47"/>
      <c r="BJ76" s="47"/>
      <c r="BK76" s="56"/>
    </row>
    <row r="77" ht="21.0" customHeight="1">
      <c r="A77" s="43"/>
      <c r="B77" s="44" t="s">
        <v>129</v>
      </c>
      <c r="C77" s="44" t="s">
        <v>52</v>
      </c>
      <c r="D77" s="45">
        <v>45187.0</v>
      </c>
      <c r="E77" s="45">
        <v>45191.0</v>
      </c>
      <c r="F77" s="44" t="s">
        <v>88</v>
      </c>
      <c r="G77" s="44" t="s">
        <v>26</v>
      </c>
      <c r="H77" s="57" t="s">
        <v>21</v>
      </c>
      <c r="I77" s="50"/>
      <c r="J77" s="47"/>
      <c r="K77" s="47"/>
      <c r="L77" s="47"/>
      <c r="M77" s="48"/>
      <c r="N77" s="51"/>
      <c r="O77" s="47"/>
      <c r="P77" s="47"/>
      <c r="Q77" s="47"/>
      <c r="R77" s="48"/>
      <c r="S77" s="50"/>
      <c r="T77" s="47"/>
      <c r="U77" s="47"/>
      <c r="V77" s="47"/>
      <c r="W77" s="48"/>
      <c r="X77" s="61"/>
      <c r="Y77" s="47"/>
      <c r="Z77" s="47"/>
      <c r="AA77" s="47"/>
      <c r="AB77" s="48"/>
      <c r="AC77" s="50"/>
      <c r="AD77" s="47"/>
      <c r="AE77" s="47"/>
      <c r="AF77" s="47"/>
      <c r="AG77" s="48"/>
      <c r="AH77" s="52"/>
      <c r="AI77" s="47"/>
      <c r="AJ77" s="47"/>
      <c r="AK77" s="47"/>
      <c r="AL77" s="48"/>
      <c r="AM77" s="46">
        <v>2279.47</v>
      </c>
      <c r="AN77" s="47"/>
      <c r="AO77" s="47"/>
      <c r="AP77" s="47"/>
      <c r="AQ77" s="48"/>
      <c r="AR77" s="69">
        <v>2344.14</v>
      </c>
      <c r="AS77" s="47"/>
      <c r="AT77" s="47"/>
      <c r="AU77" s="47"/>
      <c r="AV77" s="48"/>
      <c r="AW77" s="53"/>
      <c r="AX77" s="47"/>
      <c r="AY77" s="47"/>
      <c r="AZ77" s="47"/>
      <c r="BA77" s="48"/>
      <c r="BB77" s="54"/>
      <c r="BC77" s="47"/>
      <c r="BD77" s="47"/>
      <c r="BE77" s="47"/>
      <c r="BF77" s="48"/>
      <c r="BG77" s="55"/>
      <c r="BH77" s="47"/>
      <c r="BI77" s="47"/>
      <c r="BJ77" s="47"/>
      <c r="BK77" s="56"/>
    </row>
    <row r="78" ht="21.0" customHeight="1">
      <c r="A78" s="43"/>
      <c r="B78" s="44" t="s">
        <v>252</v>
      </c>
      <c r="C78" s="44" t="s">
        <v>205</v>
      </c>
      <c r="D78" s="45">
        <v>45180.0</v>
      </c>
      <c r="E78" s="45">
        <v>45181.0</v>
      </c>
      <c r="F78" s="44" t="s">
        <v>262</v>
      </c>
      <c r="G78" s="44" t="s">
        <v>59</v>
      </c>
      <c r="H78" s="57" t="s">
        <v>27</v>
      </c>
      <c r="I78" s="50"/>
      <c r="J78" s="47"/>
      <c r="K78" s="47"/>
      <c r="L78" s="47"/>
      <c r="M78" s="48"/>
      <c r="N78" s="51"/>
      <c r="O78" s="47"/>
      <c r="P78" s="47"/>
      <c r="Q78" s="47"/>
      <c r="R78" s="48"/>
      <c r="S78" s="50"/>
      <c r="T78" s="47"/>
      <c r="U78" s="47"/>
      <c r="V78" s="47"/>
      <c r="W78" s="48"/>
      <c r="X78" s="61"/>
      <c r="Y78" s="47"/>
      <c r="Z78" s="47"/>
      <c r="AA78" s="47"/>
      <c r="AB78" s="48"/>
      <c r="AC78" s="50"/>
      <c r="AD78" s="47"/>
      <c r="AE78" s="47"/>
      <c r="AF78" s="47"/>
      <c r="AG78" s="48"/>
      <c r="AH78" s="52"/>
      <c r="AI78" s="47"/>
      <c r="AJ78" s="47"/>
      <c r="AK78" s="47"/>
      <c r="AL78" s="48"/>
      <c r="AM78" s="46">
        <v>376.94</v>
      </c>
      <c r="AN78" s="47"/>
      <c r="AO78" s="47"/>
      <c r="AP78" s="47"/>
      <c r="AQ78" s="48"/>
      <c r="AR78" s="69">
        <v>375.81</v>
      </c>
      <c r="AS78" s="47"/>
      <c r="AT78" s="47"/>
      <c r="AU78" s="47"/>
      <c r="AV78" s="48"/>
      <c r="AW78" s="53"/>
      <c r="AX78" s="47"/>
      <c r="AY78" s="47"/>
      <c r="AZ78" s="47"/>
      <c r="BA78" s="48"/>
      <c r="BB78" s="54"/>
      <c r="BC78" s="47"/>
      <c r="BD78" s="47"/>
      <c r="BE78" s="47"/>
      <c r="BF78" s="48"/>
      <c r="BG78" s="55"/>
      <c r="BH78" s="47"/>
      <c r="BI78" s="47"/>
      <c r="BJ78" s="47"/>
      <c r="BK78" s="56"/>
    </row>
    <row r="79" ht="21.0" customHeight="1">
      <c r="A79" s="43"/>
      <c r="B79" s="44" t="s">
        <v>252</v>
      </c>
      <c r="C79" s="44" t="s">
        <v>205</v>
      </c>
      <c r="D79" s="45">
        <v>45175.0</v>
      </c>
      <c r="E79" s="45">
        <v>45176.0</v>
      </c>
      <c r="F79" s="44" t="s">
        <v>209</v>
      </c>
      <c r="G79" s="44" t="s">
        <v>59</v>
      </c>
      <c r="H79" s="57" t="s">
        <v>27</v>
      </c>
      <c r="I79" s="50"/>
      <c r="J79" s="47"/>
      <c r="K79" s="47"/>
      <c r="L79" s="47"/>
      <c r="M79" s="48"/>
      <c r="N79" s="51"/>
      <c r="O79" s="47"/>
      <c r="P79" s="47"/>
      <c r="Q79" s="47"/>
      <c r="R79" s="48"/>
      <c r="S79" s="50"/>
      <c r="T79" s="47"/>
      <c r="U79" s="47"/>
      <c r="V79" s="47"/>
      <c r="W79" s="48"/>
      <c r="X79" s="61"/>
      <c r="Y79" s="47"/>
      <c r="Z79" s="47"/>
      <c r="AA79" s="47"/>
      <c r="AB79" s="48"/>
      <c r="AC79" s="50"/>
      <c r="AD79" s="47"/>
      <c r="AE79" s="47"/>
      <c r="AF79" s="47"/>
      <c r="AG79" s="48"/>
      <c r="AH79" s="52"/>
      <c r="AI79" s="47"/>
      <c r="AJ79" s="47"/>
      <c r="AK79" s="47"/>
      <c r="AL79" s="48"/>
      <c r="AM79" s="46">
        <v>263.12</v>
      </c>
      <c r="AN79" s="47"/>
      <c r="AO79" s="47"/>
      <c r="AP79" s="47"/>
      <c r="AQ79" s="48"/>
      <c r="AR79" s="69">
        <v>243.12</v>
      </c>
      <c r="AS79" s="47"/>
      <c r="AT79" s="47"/>
      <c r="AU79" s="47"/>
      <c r="AV79" s="48"/>
      <c r="AW79" s="53"/>
      <c r="AX79" s="47"/>
      <c r="AY79" s="47"/>
      <c r="AZ79" s="47"/>
      <c r="BA79" s="48"/>
      <c r="BB79" s="54"/>
      <c r="BC79" s="47"/>
      <c r="BD79" s="47"/>
      <c r="BE79" s="47"/>
      <c r="BF79" s="48"/>
      <c r="BG79" s="55"/>
      <c r="BH79" s="47"/>
      <c r="BI79" s="47"/>
      <c r="BJ79" s="47"/>
      <c r="BK79" s="56"/>
    </row>
    <row r="80" ht="21.0" customHeight="1">
      <c r="A80" s="43"/>
      <c r="B80" s="44" t="s">
        <v>150</v>
      </c>
      <c r="C80" s="44" t="s">
        <v>205</v>
      </c>
      <c r="D80" s="45">
        <v>45175.0</v>
      </c>
      <c r="E80" s="45">
        <v>45176.0</v>
      </c>
      <c r="F80" s="44" t="s">
        <v>209</v>
      </c>
      <c r="G80" s="44" t="s">
        <v>59</v>
      </c>
      <c r="H80" s="57" t="s">
        <v>27</v>
      </c>
      <c r="I80" s="50"/>
      <c r="J80" s="47"/>
      <c r="K80" s="47"/>
      <c r="L80" s="47"/>
      <c r="M80" s="48"/>
      <c r="N80" s="51"/>
      <c r="O80" s="47"/>
      <c r="P80" s="47"/>
      <c r="Q80" s="47"/>
      <c r="R80" s="48"/>
      <c r="S80" s="50"/>
      <c r="T80" s="47"/>
      <c r="U80" s="47"/>
      <c r="V80" s="47"/>
      <c r="W80" s="48"/>
      <c r="X80" s="61"/>
      <c r="Y80" s="47"/>
      <c r="Z80" s="47"/>
      <c r="AA80" s="47"/>
      <c r="AB80" s="48"/>
      <c r="AC80" s="50"/>
      <c r="AD80" s="47"/>
      <c r="AE80" s="47"/>
      <c r="AF80" s="47"/>
      <c r="AG80" s="48"/>
      <c r="AH80" s="52"/>
      <c r="AI80" s="47"/>
      <c r="AJ80" s="47"/>
      <c r="AK80" s="47"/>
      <c r="AL80" s="48"/>
      <c r="AM80" s="46">
        <v>256.12</v>
      </c>
      <c r="AN80" s="47"/>
      <c r="AO80" s="47"/>
      <c r="AP80" s="47"/>
      <c r="AQ80" s="48"/>
      <c r="AR80" s="69">
        <v>251.43</v>
      </c>
      <c r="AS80" s="47"/>
      <c r="AT80" s="47"/>
      <c r="AU80" s="47"/>
      <c r="AV80" s="48"/>
      <c r="AW80" s="53"/>
      <c r="AX80" s="47"/>
      <c r="AY80" s="47"/>
      <c r="AZ80" s="47"/>
      <c r="BA80" s="48"/>
      <c r="BB80" s="54"/>
      <c r="BC80" s="47"/>
      <c r="BD80" s="47"/>
      <c r="BE80" s="47"/>
      <c r="BF80" s="48"/>
      <c r="BG80" s="55"/>
      <c r="BH80" s="47"/>
      <c r="BI80" s="47"/>
      <c r="BJ80" s="47"/>
      <c r="BK80" s="56"/>
    </row>
    <row r="81" ht="21.0" customHeight="1">
      <c r="A81" s="43"/>
      <c r="B81" s="44" t="s">
        <v>146</v>
      </c>
      <c r="C81" s="44" t="s">
        <v>270</v>
      </c>
      <c r="D81" s="45">
        <v>45196.0</v>
      </c>
      <c r="E81" s="45">
        <v>45197.0</v>
      </c>
      <c r="F81" s="44" t="s">
        <v>142</v>
      </c>
      <c r="G81" s="44" t="s">
        <v>59</v>
      </c>
      <c r="H81" s="57" t="s">
        <v>60</v>
      </c>
      <c r="I81" s="50"/>
      <c r="J81" s="47"/>
      <c r="K81" s="47"/>
      <c r="L81" s="47"/>
      <c r="M81" s="48"/>
      <c r="N81" s="51"/>
      <c r="O81" s="47"/>
      <c r="P81" s="47"/>
      <c r="Q81" s="47"/>
      <c r="R81" s="48"/>
      <c r="S81" s="50"/>
      <c r="T81" s="47"/>
      <c r="U81" s="47"/>
      <c r="V81" s="47"/>
      <c r="W81" s="48"/>
      <c r="X81" s="61"/>
      <c r="Y81" s="47"/>
      <c r="Z81" s="47"/>
      <c r="AA81" s="47"/>
      <c r="AB81" s="48"/>
      <c r="AC81" s="50"/>
      <c r="AD81" s="47"/>
      <c r="AE81" s="47"/>
      <c r="AF81" s="47"/>
      <c r="AG81" s="48"/>
      <c r="AH81" s="52"/>
      <c r="AI81" s="47"/>
      <c r="AJ81" s="47"/>
      <c r="AK81" s="47"/>
      <c r="AL81" s="48"/>
      <c r="AM81" s="46" t="s">
        <v>56</v>
      </c>
      <c r="AN81" s="47"/>
      <c r="AO81" s="47"/>
      <c r="AP81" s="47"/>
      <c r="AQ81" s="48"/>
      <c r="AR81" s="69">
        <v>46.8</v>
      </c>
      <c r="AS81" s="47"/>
      <c r="AT81" s="47"/>
      <c r="AU81" s="47"/>
      <c r="AV81" s="48"/>
      <c r="AW81" s="53"/>
      <c r="AX81" s="47"/>
      <c r="AY81" s="47"/>
      <c r="AZ81" s="47"/>
      <c r="BA81" s="48"/>
      <c r="BB81" s="54"/>
      <c r="BC81" s="47"/>
      <c r="BD81" s="47"/>
      <c r="BE81" s="47"/>
      <c r="BF81" s="48"/>
      <c r="BG81" s="55"/>
      <c r="BH81" s="47"/>
      <c r="BI81" s="47"/>
      <c r="BJ81" s="47"/>
      <c r="BK81" s="56"/>
    </row>
    <row r="82" ht="21.0" customHeight="1">
      <c r="A82" s="33"/>
      <c r="B82" s="63" t="s">
        <v>271</v>
      </c>
      <c r="C82" s="63" t="s">
        <v>12</v>
      </c>
      <c r="D82" s="64" t="s">
        <v>13</v>
      </c>
      <c r="E82" s="36"/>
      <c r="F82" s="63" t="s">
        <v>14</v>
      </c>
      <c r="G82" s="63" t="s">
        <v>15</v>
      </c>
      <c r="H82" s="63" t="s">
        <v>16</v>
      </c>
      <c r="I82" s="65"/>
      <c r="J82" s="36"/>
      <c r="K82" s="36"/>
      <c r="L82" s="36"/>
      <c r="M82" s="36"/>
      <c r="N82" s="66"/>
      <c r="O82" s="36"/>
      <c r="P82" s="36"/>
      <c r="Q82" s="36"/>
      <c r="R82" s="36"/>
      <c r="S82" s="65"/>
      <c r="T82" s="36"/>
      <c r="U82" s="36"/>
      <c r="V82" s="36"/>
      <c r="W82" s="36"/>
      <c r="X82" s="66"/>
      <c r="Y82" s="36"/>
      <c r="Z82" s="36"/>
      <c r="AA82" s="36"/>
      <c r="AB82" s="36"/>
      <c r="AC82" s="66"/>
      <c r="AD82" s="36"/>
      <c r="AE82" s="36"/>
      <c r="AF82" s="36"/>
      <c r="AG82" s="36"/>
      <c r="AH82" s="66"/>
      <c r="AI82" s="36"/>
      <c r="AJ82" s="36"/>
      <c r="AK82" s="36"/>
      <c r="AL82" s="36"/>
      <c r="AM82" s="66"/>
      <c r="AN82" s="36"/>
      <c r="AO82" s="36"/>
      <c r="AP82" s="36"/>
      <c r="AQ82" s="36"/>
      <c r="AR82" s="66"/>
      <c r="AS82" s="36"/>
      <c r="AT82" s="36"/>
      <c r="AU82" s="36"/>
      <c r="AV82" s="36"/>
      <c r="AW82" s="67"/>
      <c r="AX82" s="36"/>
      <c r="AY82" s="36"/>
      <c r="AZ82" s="36"/>
      <c r="BA82" s="36"/>
      <c r="BB82" s="68"/>
      <c r="BC82" s="36"/>
      <c r="BD82" s="36"/>
      <c r="BE82" s="36"/>
      <c r="BF82" s="36"/>
      <c r="BG82" s="68"/>
      <c r="BH82" s="36"/>
      <c r="BI82" s="36"/>
      <c r="BJ82" s="36"/>
      <c r="BK82" s="42"/>
    </row>
    <row r="83" ht="21.0" customHeight="1">
      <c r="A83" s="43"/>
      <c r="B83" s="88" t="s">
        <v>132</v>
      </c>
      <c r="C83" s="88" t="s">
        <v>130</v>
      </c>
      <c r="D83" s="89">
        <v>44872.0</v>
      </c>
      <c r="E83" s="89">
        <v>44875.0</v>
      </c>
      <c r="F83" s="88" t="s">
        <v>30</v>
      </c>
      <c r="G83" s="88" t="s">
        <v>133</v>
      </c>
      <c r="H83" s="88" t="s">
        <v>21</v>
      </c>
      <c r="I83" s="46">
        <v>1091.87</v>
      </c>
      <c r="J83" s="47"/>
      <c r="K83" s="47"/>
      <c r="L83" s="47"/>
      <c r="M83" s="48"/>
      <c r="N83" s="69">
        <v>1074.75</v>
      </c>
      <c r="O83" s="47"/>
      <c r="P83" s="47"/>
      <c r="Q83" s="47"/>
      <c r="R83" s="48"/>
      <c r="S83" s="50"/>
      <c r="T83" s="47"/>
      <c r="U83" s="47"/>
      <c r="V83" s="47"/>
      <c r="W83" s="48"/>
      <c r="X83" s="100"/>
      <c r="Y83" s="47"/>
      <c r="Z83" s="47"/>
      <c r="AA83" s="47"/>
      <c r="AB83" s="48"/>
      <c r="AC83" s="50"/>
      <c r="AD83" s="47"/>
      <c r="AE83" s="47"/>
      <c r="AF83" s="47"/>
      <c r="AG83" s="48"/>
      <c r="AH83" s="51"/>
      <c r="AI83" s="47"/>
      <c r="AJ83" s="47"/>
      <c r="AK83" s="47"/>
      <c r="AL83" s="48"/>
      <c r="AM83" s="50"/>
      <c r="AN83" s="47"/>
      <c r="AO83" s="47"/>
      <c r="AP83" s="47"/>
      <c r="AQ83" s="48"/>
      <c r="AR83" s="52"/>
      <c r="AS83" s="47"/>
      <c r="AT83" s="47"/>
      <c r="AU83" s="47"/>
      <c r="AV83" s="48"/>
      <c r="AW83" s="53" t="s">
        <v>271</v>
      </c>
      <c r="AX83" s="47"/>
      <c r="AY83" s="47"/>
      <c r="AZ83" s="47"/>
      <c r="BA83" s="48"/>
      <c r="BB83" s="54">
        <f>SUM(N83:R102)</f>
        <v>4294.84</v>
      </c>
      <c r="BC83" s="47"/>
      <c r="BD83" s="47"/>
      <c r="BE83" s="47"/>
      <c r="BF83" s="48"/>
      <c r="BG83" s="55" t="s">
        <v>22</v>
      </c>
      <c r="BH83" s="47"/>
      <c r="BI83" s="47"/>
      <c r="BJ83" s="47"/>
      <c r="BK83" s="56"/>
    </row>
    <row r="84" ht="21.0" customHeight="1">
      <c r="A84" s="43"/>
      <c r="B84" s="88" t="s">
        <v>156</v>
      </c>
      <c r="C84" s="88" t="s">
        <v>272</v>
      </c>
      <c r="D84" s="89">
        <v>44880.0</v>
      </c>
      <c r="E84" s="89">
        <v>44882.0</v>
      </c>
      <c r="F84" s="88" t="s">
        <v>164</v>
      </c>
      <c r="G84" s="88" t="s">
        <v>59</v>
      </c>
      <c r="H84" s="90" t="s">
        <v>27</v>
      </c>
      <c r="I84" s="46">
        <v>507.14</v>
      </c>
      <c r="J84" s="47"/>
      <c r="K84" s="47"/>
      <c r="L84" s="47"/>
      <c r="M84" s="48"/>
      <c r="N84" s="134">
        <v>462.82</v>
      </c>
      <c r="O84" s="47"/>
      <c r="P84" s="47"/>
      <c r="Q84" s="47"/>
      <c r="R84" s="48"/>
      <c r="S84" s="50"/>
      <c r="T84" s="47"/>
      <c r="U84" s="47"/>
      <c r="V84" s="47"/>
      <c r="W84" s="48"/>
      <c r="X84" s="51"/>
      <c r="Y84" s="47"/>
      <c r="Z84" s="47"/>
      <c r="AA84" s="47"/>
      <c r="AB84" s="48"/>
      <c r="AC84" s="50"/>
      <c r="AD84" s="47"/>
      <c r="AE84" s="47"/>
      <c r="AF84" s="47"/>
      <c r="AG84" s="48"/>
      <c r="AH84" s="51"/>
      <c r="AI84" s="47"/>
      <c r="AJ84" s="47"/>
      <c r="AK84" s="47"/>
      <c r="AL84" s="48"/>
      <c r="AM84" s="50"/>
      <c r="AN84" s="47"/>
      <c r="AO84" s="47"/>
      <c r="AP84" s="47"/>
      <c r="AQ84" s="48"/>
      <c r="AR84" s="52"/>
      <c r="AS84" s="47"/>
      <c r="AT84" s="47"/>
      <c r="AU84" s="47"/>
      <c r="AV84" s="48"/>
      <c r="AW84" s="53"/>
      <c r="AX84" s="47"/>
      <c r="AY84" s="47"/>
      <c r="AZ84" s="47"/>
      <c r="BA84" s="48"/>
      <c r="BB84" s="54">
        <f>SUM(X83:AB102)</f>
        <v>1401.89</v>
      </c>
      <c r="BC84" s="47"/>
      <c r="BD84" s="47"/>
      <c r="BE84" s="47"/>
      <c r="BF84" s="48"/>
      <c r="BG84" s="55" t="s">
        <v>3</v>
      </c>
      <c r="BH84" s="47"/>
      <c r="BI84" s="47"/>
      <c r="BJ84" s="47"/>
      <c r="BK84" s="56"/>
    </row>
    <row r="85" ht="21.0" customHeight="1">
      <c r="A85" s="43"/>
      <c r="B85" s="88" t="s">
        <v>156</v>
      </c>
      <c r="C85" s="88" t="s">
        <v>157</v>
      </c>
      <c r="D85" s="89">
        <v>44886.0</v>
      </c>
      <c r="E85" s="89">
        <v>44887.0</v>
      </c>
      <c r="F85" s="88" t="s">
        <v>158</v>
      </c>
      <c r="G85" s="88" t="s">
        <v>59</v>
      </c>
      <c r="H85" s="90" t="s">
        <v>27</v>
      </c>
      <c r="I85" s="46">
        <v>1172.4</v>
      </c>
      <c r="J85" s="47"/>
      <c r="K85" s="47"/>
      <c r="L85" s="47"/>
      <c r="M85" s="48"/>
      <c r="N85" s="69">
        <v>1091.86</v>
      </c>
      <c r="O85" s="47"/>
      <c r="P85" s="47"/>
      <c r="Q85" s="47"/>
      <c r="R85" s="48"/>
      <c r="S85" s="50"/>
      <c r="T85" s="47"/>
      <c r="U85" s="47"/>
      <c r="V85" s="47"/>
      <c r="W85" s="48"/>
      <c r="X85" s="100"/>
      <c r="Y85" s="47"/>
      <c r="Z85" s="47"/>
      <c r="AA85" s="47"/>
      <c r="AB85" s="48"/>
      <c r="AC85" s="50"/>
      <c r="AD85" s="47"/>
      <c r="AE85" s="47"/>
      <c r="AF85" s="47"/>
      <c r="AG85" s="48"/>
      <c r="AH85" s="51"/>
      <c r="AI85" s="47"/>
      <c r="AJ85" s="47"/>
      <c r="AK85" s="47"/>
      <c r="AL85" s="48"/>
      <c r="AM85" s="50"/>
      <c r="AN85" s="47"/>
      <c r="AO85" s="47"/>
      <c r="AP85" s="47"/>
      <c r="AQ85" s="48"/>
      <c r="AR85" s="51"/>
      <c r="AS85" s="47"/>
      <c r="AT85" s="47"/>
      <c r="AU85" s="47"/>
      <c r="AV85" s="48"/>
      <c r="AW85" s="53"/>
      <c r="AX85" s="47"/>
      <c r="AY85" s="47"/>
      <c r="AZ85" s="47"/>
      <c r="BA85" s="48"/>
      <c r="BB85" s="54">
        <f>SUM(AH83:AL102)</f>
        <v>2768.36</v>
      </c>
      <c r="BC85" s="47"/>
      <c r="BD85" s="47"/>
      <c r="BE85" s="47"/>
      <c r="BF85" s="48"/>
      <c r="BG85" s="55" t="s">
        <v>4</v>
      </c>
      <c r="BH85" s="47"/>
      <c r="BI85" s="47"/>
      <c r="BJ85" s="47"/>
      <c r="BK85" s="56"/>
    </row>
    <row r="86" ht="21.0" customHeight="1">
      <c r="A86" s="43"/>
      <c r="B86" s="88" t="s">
        <v>103</v>
      </c>
      <c r="C86" s="88" t="s">
        <v>104</v>
      </c>
      <c r="D86" s="89">
        <v>44853.0</v>
      </c>
      <c r="E86" s="89">
        <v>44867.0</v>
      </c>
      <c r="F86" s="88" t="s">
        <v>105</v>
      </c>
      <c r="G86" s="88" t="s">
        <v>59</v>
      </c>
      <c r="H86" s="90" t="s">
        <v>60</v>
      </c>
      <c r="I86" s="46" t="s">
        <v>56</v>
      </c>
      <c r="J86" s="47"/>
      <c r="K86" s="47"/>
      <c r="L86" s="47"/>
      <c r="M86" s="48"/>
      <c r="N86" s="69">
        <v>31.8</v>
      </c>
      <c r="O86" s="47"/>
      <c r="P86" s="47"/>
      <c r="Q86" s="47"/>
      <c r="R86" s="48"/>
      <c r="S86" s="50"/>
      <c r="T86" s="47"/>
      <c r="U86" s="47"/>
      <c r="V86" s="47"/>
      <c r="W86" s="48"/>
      <c r="X86" s="100"/>
      <c r="Y86" s="47"/>
      <c r="Z86" s="47"/>
      <c r="AA86" s="47"/>
      <c r="AB86" s="48"/>
      <c r="AC86" s="50"/>
      <c r="AD86" s="47"/>
      <c r="AE86" s="47"/>
      <c r="AF86" s="47"/>
      <c r="AG86" s="48"/>
      <c r="AH86" s="51"/>
      <c r="AI86" s="47"/>
      <c r="AJ86" s="47"/>
      <c r="AK86" s="47"/>
      <c r="AL86" s="48"/>
      <c r="AM86" s="50"/>
      <c r="AN86" s="47"/>
      <c r="AO86" s="47"/>
      <c r="AP86" s="47"/>
      <c r="AQ86" s="48"/>
      <c r="AR86" s="52"/>
      <c r="AS86" s="47"/>
      <c r="AT86" s="47"/>
      <c r="AU86" s="47"/>
      <c r="AV86" s="48"/>
      <c r="AW86" s="53"/>
      <c r="AX86" s="47"/>
      <c r="AY86" s="47"/>
      <c r="AZ86" s="47"/>
      <c r="BA86" s="48"/>
      <c r="BB86" s="54">
        <f>SUM(AR83:AV102)</f>
        <v>2856.05</v>
      </c>
      <c r="BC86" s="47"/>
      <c r="BD86" s="47"/>
      <c r="BE86" s="47"/>
      <c r="BF86" s="48"/>
      <c r="BG86" s="55" t="s">
        <v>5</v>
      </c>
      <c r="BH86" s="47"/>
      <c r="BI86" s="47"/>
      <c r="BJ86" s="47"/>
      <c r="BK86" s="56"/>
    </row>
    <row r="87" ht="21.0" customHeight="1">
      <c r="A87" s="17"/>
      <c r="B87" s="119" t="s">
        <v>162</v>
      </c>
      <c r="C87" s="119" t="s">
        <v>275</v>
      </c>
      <c r="D87" s="120">
        <v>44880.0</v>
      </c>
      <c r="E87" s="120">
        <v>44882.0</v>
      </c>
      <c r="F87" s="119" t="s">
        <v>164</v>
      </c>
      <c r="G87" s="119" t="s">
        <v>59</v>
      </c>
      <c r="H87" s="121" t="s">
        <v>27</v>
      </c>
      <c r="I87" s="46">
        <v>738.95</v>
      </c>
      <c r="J87" s="47"/>
      <c r="K87" s="47"/>
      <c r="L87" s="47"/>
      <c r="M87" s="48"/>
      <c r="N87" s="71" t="s">
        <v>56</v>
      </c>
      <c r="O87" s="47"/>
      <c r="P87" s="47"/>
      <c r="Q87" s="47"/>
      <c r="R87" s="48"/>
      <c r="S87" s="50"/>
      <c r="T87" s="47"/>
      <c r="U87" s="47"/>
      <c r="V87" s="47"/>
      <c r="W87" s="48"/>
      <c r="X87" s="52"/>
      <c r="Y87" s="47"/>
      <c r="Z87" s="47"/>
      <c r="AA87" s="47"/>
      <c r="AB87" s="48"/>
      <c r="AC87" s="50"/>
      <c r="AD87" s="47"/>
      <c r="AE87" s="47"/>
      <c r="AF87" s="47"/>
      <c r="AG87" s="48"/>
      <c r="AH87" s="52"/>
      <c r="AI87" s="47"/>
      <c r="AJ87" s="47"/>
      <c r="AK87" s="47"/>
      <c r="AL87" s="48"/>
      <c r="AM87" s="50"/>
      <c r="AN87" s="47"/>
      <c r="AO87" s="47"/>
      <c r="AP87" s="47"/>
      <c r="AQ87" s="48"/>
      <c r="AR87" s="51"/>
      <c r="AS87" s="47"/>
      <c r="AT87" s="47"/>
      <c r="AU87" s="47"/>
      <c r="AV87" s="48"/>
      <c r="AW87" s="53"/>
      <c r="AX87" s="47"/>
      <c r="AY87" s="47"/>
      <c r="AZ87" s="47"/>
      <c r="BA87" s="48"/>
      <c r="BB87" s="59"/>
      <c r="BC87" s="47"/>
      <c r="BD87" s="47"/>
      <c r="BE87" s="47"/>
      <c r="BF87" s="48"/>
      <c r="BG87" s="59"/>
      <c r="BH87" s="47"/>
      <c r="BI87" s="47"/>
      <c r="BJ87" s="47"/>
      <c r="BK87" s="56"/>
    </row>
    <row r="88" ht="21.0" customHeight="1">
      <c r="A88" s="17"/>
      <c r="B88" s="119" t="s">
        <v>154</v>
      </c>
      <c r="C88" s="119" t="s">
        <v>145</v>
      </c>
      <c r="D88" s="120">
        <v>44886.0</v>
      </c>
      <c r="E88" s="120">
        <v>44887.0</v>
      </c>
      <c r="F88" s="119" t="s">
        <v>155</v>
      </c>
      <c r="G88" s="119" t="s">
        <v>59</v>
      </c>
      <c r="H88" s="121" t="s">
        <v>27</v>
      </c>
      <c r="I88" s="46">
        <v>268.62</v>
      </c>
      <c r="J88" s="47"/>
      <c r="K88" s="47"/>
      <c r="L88" s="47"/>
      <c r="M88" s="48"/>
      <c r="N88" s="71">
        <v>235.62</v>
      </c>
      <c r="O88" s="47"/>
      <c r="P88" s="47"/>
      <c r="Q88" s="47"/>
      <c r="R88" s="48"/>
      <c r="S88" s="50"/>
      <c r="T88" s="47"/>
      <c r="U88" s="47"/>
      <c r="V88" s="47"/>
      <c r="W88" s="48"/>
      <c r="X88" s="52"/>
      <c r="Y88" s="47"/>
      <c r="Z88" s="47"/>
      <c r="AA88" s="47"/>
      <c r="AB88" s="48"/>
      <c r="AC88" s="50"/>
      <c r="AD88" s="47"/>
      <c r="AE88" s="47"/>
      <c r="AF88" s="47"/>
      <c r="AG88" s="48"/>
      <c r="AH88" s="52"/>
      <c r="AI88" s="47"/>
      <c r="AJ88" s="47"/>
      <c r="AK88" s="47"/>
      <c r="AL88" s="48"/>
      <c r="AM88" s="50"/>
      <c r="AN88" s="47"/>
      <c r="AO88" s="47"/>
      <c r="AP88" s="47"/>
      <c r="AQ88" s="48"/>
      <c r="AR88" s="51"/>
      <c r="AS88" s="47"/>
      <c r="AT88" s="47"/>
      <c r="AU88" s="47"/>
      <c r="AV88" s="48"/>
      <c r="AW88" s="53"/>
      <c r="AX88" s="47"/>
      <c r="AY88" s="47"/>
      <c r="AZ88" s="47"/>
      <c r="BA88" s="48"/>
      <c r="BB88" s="59"/>
      <c r="BC88" s="47"/>
      <c r="BD88" s="47"/>
      <c r="BE88" s="47"/>
      <c r="BF88" s="48"/>
      <c r="BG88" s="59"/>
      <c r="BH88" s="47"/>
      <c r="BI88" s="47"/>
      <c r="BJ88" s="47"/>
      <c r="BK88" s="56"/>
    </row>
    <row r="89" ht="21.0" customHeight="1">
      <c r="A89" s="17"/>
      <c r="B89" s="119" t="s">
        <v>154</v>
      </c>
      <c r="C89" s="119" t="s">
        <v>145</v>
      </c>
      <c r="D89" s="120">
        <v>44886.0</v>
      </c>
      <c r="E89" s="120">
        <v>44895.0</v>
      </c>
      <c r="F89" s="119" t="s">
        <v>155</v>
      </c>
      <c r="G89" s="119" t="s">
        <v>59</v>
      </c>
      <c r="H89" s="121" t="s">
        <v>27</v>
      </c>
      <c r="I89" s="46">
        <v>1016.37</v>
      </c>
      <c r="J89" s="47"/>
      <c r="K89" s="47"/>
      <c r="L89" s="47"/>
      <c r="M89" s="48"/>
      <c r="N89" s="71">
        <v>1114.43</v>
      </c>
      <c r="O89" s="47"/>
      <c r="P89" s="47"/>
      <c r="Q89" s="47"/>
      <c r="R89" s="48"/>
      <c r="S89" s="50"/>
      <c r="T89" s="47"/>
      <c r="U89" s="47"/>
      <c r="V89" s="47"/>
      <c r="W89" s="48"/>
      <c r="X89" s="52"/>
      <c r="Y89" s="47"/>
      <c r="Z89" s="47"/>
      <c r="AA89" s="47"/>
      <c r="AB89" s="48"/>
      <c r="AC89" s="50"/>
      <c r="AD89" s="47"/>
      <c r="AE89" s="47"/>
      <c r="AF89" s="47"/>
      <c r="AG89" s="48"/>
      <c r="AH89" s="52"/>
      <c r="AI89" s="47"/>
      <c r="AJ89" s="47"/>
      <c r="AK89" s="47"/>
      <c r="AL89" s="48"/>
      <c r="AM89" s="50"/>
      <c r="AN89" s="47"/>
      <c r="AO89" s="47"/>
      <c r="AP89" s="47"/>
      <c r="AQ89" s="48"/>
      <c r="AR89" s="52"/>
      <c r="AS89" s="47"/>
      <c r="AT89" s="47"/>
      <c r="AU89" s="47"/>
      <c r="AV89" s="48"/>
      <c r="AW89" s="53"/>
      <c r="AX89" s="47"/>
      <c r="AY89" s="47"/>
      <c r="AZ89" s="47"/>
      <c r="BA89" s="48"/>
      <c r="BB89" s="59"/>
      <c r="BC89" s="47"/>
      <c r="BD89" s="47"/>
      <c r="BE89" s="47"/>
      <c r="BF89" s="48"/>
      <c r="BG89" s="59"/>
      <c r="BH89" s="47"/>
      <c r="BI89" s="47"/>
      <c r="BJ89" s="47"/>
      <c r="BK89" s="56"/>
    </row>
    <row r="90" ht="21.0" customHeight="1">
      <c r="A90" s="17"/>
      <c r="B90" s="119" t="s">
        <v>103</v>
      </c>
      <c r="C90" s="119" t="s">
        <v>281</v>
      </c>
      <c r="D90" s="120">
        <v>44936.0</v>
      </c>
      <c r="E90" s="120">
        <v>44937.0</v>
      </c>
      <c r="F90" s="119" t="s">
        <v>247</v>
      </c>
      <c r="G90" s="119" t="s">
        <v>84</v>
      </c>
      <c r="H90" s="121" t="s">
        <v>124</v>
      </c>
      <c r="I90" s="46">
        <v>361.5</v>
      </c>
      <c r="J90" s="47"/>
      <c r="K90" s="47"/>
      <c r="L90" s="47"/>
      <c r="M90" s="48"/>
      <c r="N90" s="71">
        <v>283.56</v>
      </c>
      <c r="O90" s="47"/>
      <c r="P90" s="47"/>
      <c r="Q90" s="47"/>
      <c r="R90" s="48"/>
      <c r="S90" s="50"/>
      <c r="T90" s="47"/>
      <c r="U90" s="47"/>
      <c r="V90" s="47"/>
      <c r="W90" s="48"/>
      <c r="X90" s="52"/>
      <c r="Y90" s="47"/>
      <c r="Z90" s="47"/>
      <c r="AA90" s="47"/>
      <c r="AB90" s="48"/>
      <c r="AC90" s="50"/>
      <c r="AD90" s="47"/>
      <c r="AE90" s="47"/>
      <c r="AF90" s="47"/>
      <c r="AG90" s="48"/>
      <c r="AH90" s="52"/>
      <c r="AI90" s="47"/>
      <c r="AJ90" s="47"/>
      <c r="AK90" s="47"/>
      <c r="AL90" s="48"/>
      <c r="AM90" s="50"/>
      <c r="AN90" s="47"/>
      <c r="AO90" s="47"/>
      <c r="AP90" s="47"/>
      <c r="AQ90" s="48"/>
      <c r="AR90" s="52"/>
      <c r="AS90" s="47"/>
      <c r="AT90" s="47"/>
      <c r="AU90" s="47"/>
      <c r="AV90" s="48"/>
      <c r="AW90" s="53"/>
      <c r="AX90" s="47"/>
      <c r="AY90" s="47"/>
      <c r="AZ90" s="47"/>
      <c r="BA90" s="48"/>
      <c r="BB90" s="59"/>
      <c r="BC90" s="47"/>
      <c r="BD90" s="47"/>
      <c r="BE90" s="47"/>
      <c r="BF90" s="48"/>
      <c r="BG90" s="59"/>
      <c r="BH90" s="47"/>
      <c r="BI90" s="47"/>
      <c r="BJ90" s="47"/>
      <c r="BK90" s="56"/>
    </row>
    <row r="91" ht="21.0" customHeight="1">
      <c r="A91" s="17"/>
      <c r="B91" s="119" t="s">
        <v>132</v>
      </c>
      <c r="C91" s="119" t="s">
        <v>213</v>
      </c>
      <c r="D91" s="120">
        <v>44956.0</v>
      </c>
      <c r="E91" s="120">
        <v>44959.0</v>
      </c>
      <c r="F91" s="119" t="s">
        <v>214</v>
      </c>
      <c r="G91" s="119" t="s">
        <v>26</v>
      </c>
      <c r="H91" s="121" t="s">
        <v>27</v>
      </c>
      <c r="I91" s="60"/>
      <c r="J91" s="47"/>
      <c r="K91" s="47"/>
      <c r="L91" s="47"/>
      <c r="M91" s="48"/>
      <c r="N91" s="61"/>
      <c r="O91" s="47"/>
      <c r="P91" s="47"/>
      <c r="Q91" s="47"/>
      <c r="R91" s="48"/>
      <c r="S91" s="46">
        <v>1179.74</v>
      </c>
      <c r="T91" s="47"/>
      <c r="U91" s="47"/>
      <c r="V91" s="47"/>
      <c r="W91" s="48"/>
      <c r="X91" s="69">
        <v>1401.89</v>
      </c>
      <c r="Y91" s="47"/>
      <c r="Z91" s="47"/>
      <c r="AA91" s="47"/>
      <c r="AB91" s="48"/>
      <c r="AC91" s="50"/>
      <c r="AD91" s="47"/>
      <c r="AE91" s="47"/>
      <c r="AF91" s="47"/>
      <c r="AG91" s="48"/>
      <c r="AH91" s="52"/>
      <c r="AI91" s="47"/>
      <c r="AJ91" s="47"/>
      <c r="AK91" s="47"/>
      <c r="AL91" s="48"/>
      <c r="AM91" s="50"/>
      <c r="AN91" s="47"/>
      <c r="AO91" s="47"/>
      <c r="AP91" s="47"/>
      <c r="AQ91" s="48"/>
      <c r="AR91" s="52"/>
      <c r="AS91" s="47"/>
      <c r="AT91" s="47"/>
      <c r="AU91" s="47"/>
      <c r="AV91" s="48"/>
      <c r="AW91" s="53"/>
      <c r="AX91" s="47"/>
      <c r="AY91" s="47"/>
      <c r="AZ91" s="47"/>
      <c r="BA91" s="48"/>
      <c r="BB91" s="59"/>
      <c r="BC91" s="47"/>
      <c r="BD91" s="47"/>
      <c r="BE91" s="47"/>
      <c r="BF91" s="48"/>
      <c r="BG91" s="59"/>
      <c r="BH91" s="47"/>
      <c r="BI91" s="47"/>
      <c r="BJ91" s="47"/>
      <c r="BK91" s="56"/>
    </row>
    <row r="92" ht="21.0" customHeight="1">
      <c r="A92" s="17"/>
      <c r="B92" s="119" t="s">
        <v>132</v>
      </c>
      <c r="C92" s="119" t="s">
        <v>277</v>
      </c>
      <c r="D92" s="120">
        <v>45005.0</v>
      </c>
      <c r="E92" s="120">
        <v>45009.0</v>
      </c>
      <c r="F92" s="119" t="s">
        <v>19</v>
      </c>
      <c r="G92" s="119" t="s">
        <v>26</v>
      </c>
      <c r="H92" s="121" t="s">
        <v>21</v>
      </c>
      <c r="I92" s="60"/>
      <c r="J92" s="47"/>
      <c r="K92" s="47"/>
      <c r="L92" s="47"/>
      <c r="M92" s="48"/>
      <c r="N92" s="61"/>
      <c r="O92" s="47"/>
      <c r="P92" s="47"/>
      <c r="Q92" s="47"/>
      <c r="R92" s="48"/>
      <c r="S92" s="46">
        <v>2115.62</v>
      </c>
      <c r="T92" s="47"/>
      <c r="U92" s="47"/>
      <c r="V92" s="47"/>
      <c r="W92" s="48"/>
      <c r="X92" s="69" t="s">
        <v>56</v>
      </c>
      <c r="Y92" s="47"/>
      <c r="Z92" s="47"/>
      <c r="AA92" s="47"/>
      <c r="AB92" s="48"/>
      <c r="AC92" s="50"/>
      <c r="AD92" s="47"/>
      <c r="AE92" s="47"/>
      <c r="AF92" s="47"/>
      <c r="AG92" s="48"/>
      <c r="AH92" s="52"/>
      <c r="AI92" s="47"/>
      <c r="AJ92" s="47"/>
      <c r="AK92" s="47"/>
      <c r="AL92" s="48"/>
      <c r="AM92" s="50"/>
      <c r="AN92" s="47"/>
      <c r="AO92" s="47"/>
      <c r="AP92" s="47"/>
      <c r="AQ92" s="48"/>
      <c r="AR92" s="52"/>
      <c r="AS92" s="47"/>
      <c r="AT92" s="47"/>
      <c r="AU92" s="47"/>
      <c r="AV92" s="48"/>
      <c r="AW92" s="53"/>
      <c r="AX92" s="47"/>
      <c r="AY92" s="47"/>
      <c r="AZ92" s="47"/>
      <c r="BA92" s="48"/>
      <c r="BB92" s="59"/>
      <c r="BC92" s="47"/>
      <c r="BD92" s="47"/>
      <c r="BE92" s="47"/>
      <c r="BF92" s="48"/>
      <c r="BG92" s="59"/>
      <c r="BH92" s="47"/>
      <c r="BI92" s="47"/>
      <c r="BJ92" s="47"/>
      <c r="BK92" s="56"/>
    </row>
    <row r="93" ht="21.0" customHeight="1">
      <c r="A93" s="17"/>
      <c r="B93" s="119" t="s">
        <v>162</v>
      </c>
      <c r="C93" s="119" t="s">
        <v>177</v>
      </c>
      <c r="D93" s="120">
        <v>45018.0</v>
      </c>
      <c r="E93" s="120">
        <v>45022.0</v>
      </c>
      <c r="F93" s="119" t="s">
        <v>155</v>
      </c>
      <c r="G93" s="119" t="s">
        <v>187</v>
      </c>
      <c r="H93" s="121" t="s">
        <v>124</v>
      </c>
      <c r="I93" s="60"/>
      <c r="J93" s="47"/>
      <c r="K93" s="47"/>
      <c r="L93" s="47"/>
      <c r="M93" s="48"/>
      <c r="N93" s="61"/>
      <c r="O93" s="47"/>
      <c r="P93" s="47"/>
      <c r="Q93" s="47"/>
      <c r="R93" s="48"/>
      <c r="S93" s="50"/>
      <c r="T93" s="47"/>
      <c r="U93" s="47"/>
      <c r="V93" s="47"/>
      <c r="W93" s="48"/>
      <c r="X93" s="52"/>
      <c r="Y93" s="47"/>
      <c r="Z93" s="47"/>
      <c r="AA93" s="47"/>
      <c r="AB93" s="48"/>
      <c r="AC93" s="46">
        <v>1494.17</v>
      </c>
      <c r="AD93" s="47"/>
      <c r="AE93" s="47"/>
      <c r="AF93" s="47"/>
      <c r="AG93" s="48"/>
      <c r="AH93" s="69">
        <v>1199.32</v>
      </c>
      <c r="AI93" s="47"/>
      <c r="AJ93" s="47"/>
      <c r="AK93" s="47"/>
      <c r="AL93" s="48"/>
      <c r="AM93" s="50"/>
      <c r="AN93" s="47"/>
      <c r="AO93" s="47"/>
      <c r="AP93" s="47"/>
      <c r="AQ93" s="48"/>
      <c r="AR93" s="52"/>
      <c r="AS93" s="47"/>
      <c r="AT93" s="47"/>
      <c r="AU93" s="47"/>
      <c r="AV93" s="48"/>
      <c r="AW93" s="53"/>
      <c r="AX93" s="47"/>
      <c r="AY93" s="47"/>
      <c r="AZ93" s="47"/>
      <c r="BA93" s="48"/>
      <c r="BB93" s="59"/>
      <c r="BC93" s="47"/>
      <c r="BD93" s="47"/>
      <c r="BE93" s="47"/>
      <c r="BF93" s="48"/>
      <c r="BG93" s="59"/>
      <c r="BH93" s="47"/>
      <c r="BI93" s="47"/>
      <c r="BJ93" s="47"/>
      <c r="BK93" s="56"/>
    </row>
    <row r="94" ht="21.0" customHeight="1">
      <c r="A94" s="17"/>
      <c r="B94" s="119" t="s">
        <v>132</v>
      </c>
      <c r="C94" s="119" t="s">
        <v>289</v>
      </c>
      <c r="D94" s="120">
        <v>45033.0</v>
      </c>
      <c r="E94" s="120">
        <v>45035.0</v>
      </c>
      <c r="F94" s="119" t="s">
        <v>290</v>
      </c>
      <c r="G94" s="119" t="s">
        <v>26</v>
      </c>
      <c r="H94" s="121" t="s">
        <v>21</v>
      </c>
      <c r="I94" s="60"/>
      <c r="J94" s="47"/>
      <c r="K94" s="47"/>
      <c r="L94" s="47"/>
      <c r="M94" s="48"/>
      <c r="N94" s="61"/>
      <c r="O94" s="47"/>
      <c r="P94" s="47"/>
      <c r="Q94" s="47"/>
      <c r="R94" s="48"/>
      <c r="S94" s="50"/>
      <c r="T94" s="47"/>
      <c r="U94" s="47"/>
      <c r="V94" s="47"/>
      <c r="W94" s="48"/>
      <c r="X94" s="52"/>
      <c r="Y94" s="47"/>
      <c r="Z94" s="47"/>
      <c r="AA94" s="47"/>
      <c r="AB94" s="48"/>
      <c r="AC94" s="46">
        <v>738.78</v>
      </c>
      <c r="AD94" s="47"/>
      <c r="AE94" s="47"/>
      <c r="AF94" s="47"/>
      <c r="AG94" s="48"/>
      <c r="AH94" s="69" t="s">
        <v>56</v>
      </c>
      <c r="AI94" s="47"/>
      <c r="AJ94" s="47"/>
      <c r="AK94" s="47"/>
      <c r="AL94" s="48"/>
      <c r="AM94" s="50"/>
      <c r="AN94" s="47"/>
      <c r="AO94" s="47"/>
      <c r="AP94" s="47"/>
      <c r="AQ94" s="48"/>
      <c r="AR94" s="52"/>
      <c r="AS94" s="47"/>
      <c r="AT94" s="47"/>
      <c r="AU94" s="47"/>
      <c r="AV94" s="48"/>
      <c r="AW94" s="53"/>
      <c r="AX94" s="47"/>
      <c r="AY94" s="47"/>
      <c r="AZ94" s="47"/>
      <c r="BA94" s="48"/>
      <c r="BB94" s="59"/>
      <c r="BC94" s="47"/>
      <c r="BD94" s="47"/>
      <c r="BE94" s="47"/>
      <c r="BF94" s="48"/>
      <c r="BG94" s="59"/>
      <c r="BH94" s="47"/>
      <c r="BI94" s="47"/>
      <c r="BJ94" s="47"/>
      <c r="BK94" s="56"/>
    </row>
    <row r="95" ht="21.0" customHeight="1">
      <c r="A95" s="17"/>
      <c r="B95" s="119" t="s">
        <v>103</v>
      </c>
      <c r="C95" s="119" t="s">
        <v>291</v>
      </c>
      <c r="D95" s="120">
        <v>45055.0</v>
      </c>
      <c r="E95" s="120">
        <v>45057.0</v>
      </c>
      <c r="F95" s="119" t="s">
        <v>292</v>
      </c>
      <c r="G95" s="119" t="s">
        <v>59</v>
      </c>
      <c r="H95" s="121" t="s">
        <v>27</v>
      </c>
      <c r="I95" s="60"/>
      <c r="J95" s="47"/>
      <c r="K95" s="47"/>
      <c r="L95" s="47"/>
      <c r="M95" s="48"/>
      <c r="N95" s="61"/>
      <c r="O95" s="47"/>
      <c r="P95" s="47"/>
      <c r="Q95" s="47"/>
      <c r="R95" s="48"/>
      <c r="S95" s="50"/>
      <c r="T95" s="47"/>
      <c r="U95" s="47"/>
      <c r="V95" s="47"/>
      <c r="W95" s="48"/>
      <c r="X95" s="52"/>
      <c r="Y95" s="47"/>
      <c r="Z95" s="47"/>
      <c r="AA95" s="47"/>
      <c r="AB95" s="48"/>
      <c r="AC95" s="46">
        <v>540.12</v>
      </c>
      <c r="AD95" s="47"/>
      <c r="AE95" s="47"/>
      <c r="AF95" s="47"/>
      <c r="AG95" s="48"/>
      <c r="AH95" s="69">
        <v>540.76</v>
      </c>
      <c r="AI95" s="47"/>
      <c r="AJ95" s="47"/>
      <c r="AK95" s="47"/>
      <c r="AL95" s="48"/>
      <c r="AM95" s="50"/>
      <c r="AN95" s="47"/>
      <c r="AO95" s="47"/>
      <c r="AP95" s="47"/>
      <c r="AQ95" s="48"/>
      <c r="AR95" s="52"/>
      <c r="AS95" s="47"/>
      <c r="AT95" s="47"/>
      <c r="AU95" s="47"/>
      <c r="AV95" s="48"/>
      <c r="AW95" s="53"/>
      <c r="AX95" s="47"/>
      <c r="AY95" s="47"/>
      <c r="AZ95" s="47"/>
      <c r="BA95" s="48"/>
      <c r="BB95" s="59"/>
      <c r="BC95" s="47"/>
      <c r="BD95" s="47"/>
      <c r="BE95" s="47"/>
      <c r="BF95" s="48"/>
      <c r="BG95" s="59"/>
      <c r="BH95" s="47"/>
      <c r="BI95" s="47"/>
      <c r="BJ95" s="47"/>
      <c r="BK95" s="56"/>
    </row>
    <row r="96" ht="21.0" customHeight="1">
      <c r="A96" s="17"/>
      <c r="B96" s="119" t="s">
        <v>162</v>
      </c>
      <c r="C96" s="119" t="s">
        <v>293</v>
      </c>
      <c r="D96" s="120">
        <v>45097.0</v>
      </c>
      <c r="E96" s="120">
        <v>45100.0</v>
      </c>
      <c r="F96" s="119" t="s">
        <v>294</v>
      </c>
      <c r="G96" s="119" t="s">
        <v>84</v>
      </c>
      <c r="H96" s="121" t="s">
        <v>124</v>
      </c>
      <c r="I96" s="60"/>
      <c r="J96" s="47"/>
      <c r="K96" s="47"/>
      <c r="L96" s="47"/>
      <c r="M96" s="48"/>
      <c r="N96" s="61"/>
      <c r="O96" s="47"/>
      <c r="P96" s="47"/>
      <c r="Q96" s="47"/>
      <c r="R96" s="48"/>
      <c r="S96" s="50"/>
      <c r="T96" s="47"/>
      <c r="U96" s="47"/>
      <c r="V96" s="47"/>
      <c r="W96" s="48"/>
      <c r="X96" s="52"/>
      <c r="Y96" s="47"/>
      <c r="Z96" s="47"/>
      <c r="AA96" s="47"/>
      <c r="AB96" s="48"/>
      <c r="AC96" s="46">
        <v>745.46</v>
      </c>
      <c r="AD96" s="47"/>
      <c r="AE96" s="47"/>
      <c r="AF96" s="47"/>
      <c r="AG96" s="48"/>
      <c r="AH96" s="69">
        <v>514.14</v>
      </c>
      <c r="AI96" s="47"/>
      <c r="AJ96" s="47"/>
      <c r="AK96" s="47"/>
      <c r="AL96" s="48"/>
      <c r="AM96" s="50"/>
      <c r="AN96" s="47"/>
      <c r="AO96" s="47"/>
      <c r="AP96" s="47"/>
      <c r="AQ96" s="48"/>
      <c r="AR96" s="52"/>
      <c r="AS96" s="47"/>
      <c r="AT96" s="47"/>
      <c r="AU96" s="47"/>
      <c r="AV96" s="48"/>
      <c r="AW96" s="53"/>
      <c r="AX96" s="47"/>
      <c r="AY96" s="47"/>
      <c r="AZ96" s="47"/>
      <c r="BA96" s="48"/>
      <c r="BB96" s="59"/>
      <c r="BC96" s="47"/>
      <c r="BD96" s="47"/>
      <c r="BE96" s="47"/>
      <c r="BF96" s="48"/>
      <c r="BG96" s="59"/>
      <c r="BH96" s="47"/>
      <c r="BI96" s="47"/>
      <c r="BJ96" s="47"/>
      <c r="BK96" s="56"/>
    </row>
    <row r="97" ht="21.0" customHeight="1">
      <c r="A97" s="17"/>
      <c r="B97" s="119" t="s">
        <v>156</v>
      </c>
      <c r="C97" s="119" t="s">
        <v>293</v>
      </c>
      <c r="D97" s="120">
        <v>45096.0</v>
      </c>
      <c r="E97" s="120">
        <v>45099.0</v>
      </c>
      <c r="F97" s="119" t="s">
        <v>294</v>
      </c>
      <c r="G97" s="119" t="s">
        <v>84</v>
      </c>
      <c r="H97" s="121" t="s">
        <v>124</v>
      </c>
      <c r="I97" s="60"/>
      <c r="J97" s="47"/>
      <c r="K97" s="47"/>
      <c r="L97" s="47"/>
      <c r="M97" s="48"/>
      <c r="N97" s="61"/>
      <c r="O97" s="47"/>
      <c r="P97" s="47"/>
      <c r="Q97" s="47"/>
      <c r="R97" s="48"/>
      <c r="S97" s="50"/>
      <c r="T97" s="47"/>
      <c r="U97" s="47"/>
      <c r="V97" s="47"/>
      <c r="W97" s="48"/>
      <c r="X97" s="52"/>
      <c r="Y97" s="47"/>
      <c r="Z97" s="47"/>
      <c r="AA97" s="47"/>
      <c r="AB97" s="48"/>
      <c r="AC97" s="46">
        <v>745.46</v>
      </c>
      <c r="AD97" s="47"/>
      <c r="AE97" s="47"/>
      <c r="AF97" s="47"/>
      <c r="AG97" s="48"/>
      <c r="AH97" s="69">
        <v>514.14</v>
      </c>
      <c r="AI97" s="47"/>
      <c r="AJ97" s="47"/>
      <c r="AK97" s="47"/>
      <c r="AL97" s="48"/>
      <c r="AM97" s="50"/>
      <c r="AN97" s="47"/>
      <c r="AO97" s="47"/>
      <c r="AP97" s="47"/>
      <c r="AQ97" s="48"/>
      <c r="AR97" s="52"/>
      <c r="AS97" s="47"/>
      <c r="AT97" s="47"/>
      <c r="AU97" s="47"/>
      <c r="AV97" s="48"/>
      <c r="AW97" s="53"/>
      <c r="AX97" s="47"/>
      <c r="AY97" s="47"/>
      <c r="AZ97" s="47"/>
      <c r="BA97" s="48"/>
      <c r="BB97" s="59"/>
      <c r="BC97" s="47"/>
      <c r="BD97" s="47"/>
      <c r="BE97" s="47"/>
      <c r="BF97" s="48"/>
      <c r="BG97" s="59"/>
      <c r="BH97" s="47"/>
      <c r="BI97" s="47"/>
      <c r="BJ97" s="47"/>
      <c r="BK97" s="56"/>
    </row>
    <row r="98" ht="21.0" customHeight="1">
      <c r="A98" s="17"/>
      <c r="B98" s="119" t="s">
        <v>156</v>
      </c>
      <c r="C98" s="119" t="s">
        <v>295</v>
      </c>
      <c r="D98" s="120">
        <v>45146.0</v>
      </c>
      <c r="E98" s="120">
        <v>45148.0</v>
      </c>
      <c r="F98" s="119" t="s">
        <v>164</v>
      </c>
      <c r="G98" s="119" t="s">
        <v>59</v>
      </c>
      <c r="H98" s="121" t="s">
        <v>27</v>
      </c>
      <c r="I98" s="60"/>
      <c r="J98" s="47"/>
      <c r="K98" s="47"/>
      <c r="L98" s="47"/>
      <c r="M98" s="48"/>
      <c r="N98" s="61"/>
      <c r="O98" s="47"/>
      <c r="P98" s="47"/>
      <c r="Q98" s="47"/>
      <c r="R98" s="48"/>
      <c r="S98" s="50"/>
      <c r="T98" s="47"/>
      <c r="U98" s="47"/>
      <c r="V98" s="47"/>
      <c r="W98" s="48"/>
      <c r="X98" s="52"/>
      <c r="Y98" s="47"/>
      <c r="Z98" s="47"/>
      <c r="AA98" s="47"/>
      <c r="AB98" s="48"/>
      <c r="AC98" s="50"/>
      <c r="AD98" s="47"/>
      <c r="AE98" s="47"/>
      <c r="AF98" s="47"/>
      <c r="AG98" s="48"/>
      <c r="AH98" s="52"/>
      <c r="AI98" s="47"/>
      <c r="AJ98" s="47"/>
      <c r="AK98" s="47"/>
      <c r="AL98" s="48"/>
      <c r="AM98" s="46">
        <v>436.12</v>
      </c>
      <c r="AN98" s="47"/>
      <c r="AO98" s="47"/>
      <c r="AP98" s="47"/>
      <c r="AQ98" s="48"/>
      <c r="AR98" s="69">
        <v>422.62</v>
      </c>
      <c r="AS98" s="47"/>
      <c r="AT98" s="47"/>
      <c r="AU98" s="47"/>
      <c r="AV98" s="48"/>
      <c r="AW98" s="53"/>
      <c r="AX98" s="47"/>
      <c r="AY98" s="47"/>
      <c r="AZ98" s="47"/>
      <c r="BA98" s="48"/>
      <c r="BB98" s="59"/>
      <c r="BC98" s="47"/>
      <c r="BD98" s="47"/>
      <c r="BE98" s="47"/>
      <c r="BF98" s="48"/>
      <c r="BG98" s="59"/>
      <c r="BH98" s="47"/>
      <c r="BI98" s="47"/>
      <c r="BJ98" s="47"/>
      <c r="BK98" s="56"/>
    </row>
    <row r="99" ht="21.0" customHeight="1">
      <c r="A99" s="17"/>
      <c r="B99" s="119" t="s">
        <v>103</v>
      </c>
      <c r="C99" s="119" t="s">
        <v>296</v>
      </c>
      <c r="D99" s="120">
        <v>45161.0</v>
      </c>
      <c r="E99" s="120">
        <v>45162.0</v>
      </c>
      <c r="F99" s="119" t="s">
        <v>247</v>
      </c>
      <c r="G99" s="119" t="s">
        <v>59</v>
      </c>
      <c r="H99" s="121" t="s">
        <v>27</v>
      </c>
      <c r="I99" s="60"/>
      <c r="J99" s="47"/>
      <c r="K99" s="47"/>
      <c r="L99" s="47"/>
      <c r="M99" s="48"/>
      <c r="N99" s="61"/>
      <c r="O99" s="47"/>
      <c r="P99" s="47"/>
      <c r="Q99" s="47"/>
      <c r="R99" s="48"/>
      <c r="S99" s="50"/>
      <c r="T99" s="47"/>
      <c r="U99" s="47"/>
      <c r="V99" s="47"/>
      <c r="W99" s="48"/>
      <c r="X99" s="52"/>
      <c r="Y99" s="47"/>
      <c r="Z99" s="47"/>
      <c r="AA99" s="47"/>
      <c r="AB99" s="48"/>
      <c r="AC99" s="50"/>
      <c r="AD99" s="47"/>
      <c r="AE99" s="47"/>
      <c r="AF99" s="47"/>
      <c r="AG99" s="48"/>
      <c r="AH99" s="52"/>
      <c r="AI99" s="47"/>
      <c r="AJ99" s="47"/>
      <c r="AK99" s="47"/>
      <c r="AL99" s="48"/>
      <c r="AM99" s="46">
        <v>349.12</v>
      </c>
      <c r="AN99" s="47"/>
      <c r="AO99" s="47"/>
      <c r="AP99" s="47"/>
      <c r="AQ99" s="48"/>
      <c r="AR99" s="69">
        <v>325.99</v>
      </c>
      <c r="AS99" s="47"/>
      <c r="AT99" s="47"/>
      <c r="AU99" s="47"/>
      <c r="AV99" s="48"/>
      <c r="AW99" s="53"/>
      <c r="AX99" s="47"/>
      <c r="AY99" s="47"/>
      <c r="AZ99" s="47"/>
      <c r="BA99" s="48"/>
      <c r="BB99" s="59"/>
      <c r="BC99" s="47"/>
      <c r="BD99" s="47"/>
      <c r="BE99" s="47"/>
      <c r="BF99" s="48"/>
      <c r="BG99" s="59"/>
      <c r="BH99" s="47"/>
      <c r="BI99" s="47"/>
      <c r="BJ99" s="47"/>
      <c r="BK99" s="56"/>
    </row>
    <row r="100" ht="21.0" customHeight="1">
      <c r="A100" s="17"/>
      <c r="B100" s="119" t="s">
        <v>132</v>
      </c>
      <c r="C100" s="119" t="s">
        <v>299</v>
      </c>
      <c r="D100" s="120">
        <v>45187.0</v>
      </c>
      <c r="E100" s="120">
        <v>45191.0</v>
      </c>
      <c r="F100" s="119" t="s">
        <v>88</v>
      </c>
      <c r="G100" s="119" t="s">
        <v>26</v>
      </c>
      <c r="H100" s="121" t="s">
        <v>21</v>
      </c>
      <c r="I100" s="60"/>
      <c r="J100" s="47"/>
      <c r="K100" s="47"/>
      <c r="L100" s="47"/>
      <c r="M100" s="48"/>
      <c r="N100" s="61"/>
      <c r="O100" s="47"/>
      <c r="P100" s="47"/>
      <c r="Q100" s="47"/>
      <c r="R100" s="48"/>
      <c r="S100" s="50"/>
      <c r="T100" s="47"/>
      <c r="U100" s="47"/>
      <c r="V100" s="47"/>
      <c r="W100" s="48"/>
      <c r="X100" s="52"/>
      <c r="Y100" s="47"/>
      <c r="Z100" s="47"/>
      <c r="AA100" s="47"/>
      <c r="AB100" s="48"/>
      <c r="AC100" s="50"/>
      <c r="AD100" s="47"/>
      <c r="AE100" s="47"/>
      <c r="AF100" s="47"/>
      <c r="AG100" s="48"/>
      <c r="AH100" s="52"/>
      <c r="AI100" s="47"/>
      <c r="AJ100" s="47"/>
      <c r="AK100" s="47"/>
      <c r="AL100" s="48"/>
      <c r="AM100" s="46">
        <v>2394.67</v>
      </c>
      <c r="AN100" s="47"/>
      <c r="AO100" s="47"/>
      <c r="AP100" s="47"/>
      <c r="AQ100" s="48"/>
      <c r="AR100" s="69">
        <v>2043.84</v>
      </c>
      <c r="AS100" s="47"/>
      <c r="AT100" s="47"/>
      <c r="AU100" s="47"/>
      <c r="AV100" s="48"/>
      <c r="AW100" s="53"/>
      <c r="AX100" s="47"/>
      <c r="AY100" s="47"/>
      <c r="AZ100" s="47"/>
      <c r="BA100" s="48"/>
      <c r="BB100" s="59"/>
      <c r="BC100" s="47"/>
      <c r="BD100" s="47"/>
      <c r="BE100" s="47"/>
      <c r="BF100" s="48"/>
      <c r="BG100" s="59"/>
      <c r="BH100" s="47"/>
      <c r="BI100" s="47"/>
      <c r="BJ100" s="47"/>
      <c r="BK100" s="56"/>
    </row>
    <row r="101" ht="21.0" customHeight="1">
      <c r="A101" s="17"/>
      <c r="B101" s="119" t="s">
        <v>103</v>
      </c>
      <c r="C101" s="119" t="s">
        <v>301</v>
      </c>
      <c r="D101" s="120">
        <v>45113.0</v>
      </c>
      <c r="E101" s="120">
        <v>45138.0</v>
      </c>
      <c r="F101" s="119" t="s">
        <v>105</v>
      </c>
      <c r="G101" s="119" t="s">
        <v>59</v>
      </c>
      <c r="H101" s="121" t="s">
        <v>60</v>
      </c>
      <c r="I101" s="60"/>
      <c r="J101" s="47"/>
      <c r="K101" s="47"/>
      <c r="L101" s="47"/>
      <c r="M101" s="48"/>
      <c r="N101" s="61"/>
      <c r="O101" s="47"/>
      <c r="P101" s="47"/>
      <c r="Q101" s="47"/>
      <c r="R101" s="48"/>
      <c r="S101" s="50"/>
      <c r="T101" s="47"/>
      <c r="U101" s="47"/>
      <c r="V101" s="47"/>
      <c r="W101" s="48"/>
      <c r="X101" s="52"/>
      <c r="Y101" s="47"/>
      <c r="Z101" s="47"/>
      <c r="AA101" s="47"/>
      <c r="AB101" s="48"/>
      <c r="AC101" s="50"/>
      <c r="AD101" s="47"/>
      <c r="AE101" s="47"/>
      <c r="AF101" s="47"/>
      <c r="AG101" s="48"/>
      <c r="AH101" s="52"/>
      <c r="AI101" s="47"/>
      <c r="AJ101" s="47"/>
      <c r="AK101" s="47"/>
      <c r="AL101" s="48"/>
      <c r="AM101" s="46" t="s">
        <v>56</v>
      </c>
      <c r="AN101" s="47"/>
      <c r="AO101" s="47"/>
      <c r="AP101" s="47"/>
      <c r="AQ101" s="48"/>
      <c r="AR101" s="69">
        <v>31.8</v>
      </c>
      <c r="AS101" s="47"/>
      <c r="AT101" s="47"/>
      <c r="AU101" s="47"/>
      <c r="AV101" s="48"/>
      <c r="AW101" s="53"/>
      <c r="AX101" s="47"/>
      <c r="AY101" s="47"/>
      <c r="AZ101" s="47"/>
      <c r="BA101" s="48"/>
      <c r="BB101" s="59"/>
      <c r="BC101" s="47"/>
      <c r="BD101" s="47"/>
      <c r="BE101" s="47"/>
      <c r="BF101" s="48"/>
      <c r="BG101" s="59"/>
      <c r="BH101" s="47"/>
      <c r="BI101" s="47"/>
      <c r="BJ101" s="47"/>
      <c r="BK101" s="56"/>
    </row>
    <row r="102" ht="21.0" customHeight="1">
      <c r="A102" s="17"/>
      <c r="B102" s="119" t="s">
        <v>103</v>
      </c>
      <c r="C102" s="119" t="s">
        <v>301</v>
      </c>
      <c r="D102" s="120">
        <v>45141.0</v>
      </c>
      <c r="E102" s="120">
        <v>45155.0</v>
      </c>
      <c r="F102" s="119" t="s">
        <v>105</v>
      </c>
      <c r="G102" s="119" t="s">
        <v>59</v>
      </c>
      <c r="H102" s="121" t="s">
        <v>60</v>
      </c>
      <c r="I102" s="60"/>
      <c r="J102" s="47"/>
      <c r="K102" s="47"/>
      <c r="L102" s="47"/>
      <c r="M102" s="48"/>
      <c r="N102" s="61"/>
      <c r="O102" s="47"/>
      <c r="P102" s="47"/>
      <c r="Q102" s="47"/>
      <c r="R102" s="48"/>
      <c r="S102" s="50"/>
      <c r="T102" s="47"/>
      <c r="U102" s="47"/>
      <c r="V102" s="47"/>
      <c r="W102" s="48"/>
      <c r="X102" s="52"/>
      <c r="Y102" s="47"/>
      <c r="Z102" s="47"/>
      <c r="AA102" s="47"/>
      <c r="AB102" s="48"/>
      <c r="AC102" s="50"/>
      <c r="AD102" s="47"/>
      <c r="AE102" s="47"/>
      <c r="AF102" s="47"/>
      <c r="AG102" s="48"/>
      <c r="AH102" s="52"/>
      <c r="AI102" s="47"/>
      <c r="AJ102" s="47"/>
      <c r="AK102" s="47"/>
      <c r="AL102" s="48"/>
      <c r="AM102" s="46" t="s">
        <v>56</v>
      </c>
      <c r="AN102" s="47"/>
      <c r="AO102" s="47"/>
      <c r="AP102" s="47"/>
      <c r="AQ102" s="48"/>
      <c r="AR102" s="69">
        <v>31.8</v>
      </c>
      <c r="AS102" s="47"/>
      <c r="AT102" s="47"/>
      <c r="AU102" s="47"/>
      <c r="AV102" s="48"/>
      <c r="AW102" s="53"/>
      <c r="AX102" s="47"/>
      <c r="AY102" s="47"/>
      <c r="AZ102" s="47"/>
      <c r="BA102" s="48"/>
      <c r="BB102" s="59"/>
      <c r="BC102" s="47"/>
      <c r="BD102" s="47"/>
      <c r="BE102" s="47"/>
      <c r="BF102" s="48"/>
      <c r="BG102" s="59"/>
      <c r="BH102" s="47"/>
      <c r="BI102" s="47"/>
      <c r="BJ102" s="47"/>
      <c r="BK102" s="56"/>
    </row>
    <row r="103" ht="21.0" customHeight="1">
      <c r="A103" s="17"/>
      <c r="B103" s="92" t="s">
        <v>107</v>
      </c>
      <c r="C103" s="92" t="s">
        <v>108</v>
      </c>
      <c r="D103" s="92" t="s">
        <v>109</v>
      </c>
      <c r="E103" s="93"/>
      <c r="F103" s="92"/>
      <c r="G103" s="92"/>
      <c r="H103" s="94" t="s">
        <v>111</v>
      </c>
      <c r="I103" s="95"/>
      <c r="J103" s="36"/>
      <c r="K103" s="36"/>
      <c r="L103" s="36"/>
      <c r="M103" s="36"/>
      <c r="N103" s="96"/>
      <c r="O103" s="36"/>
      <c r="P103" s="36"/>
      <c r="Q103" s="36"/>
      <c r="R103" s="36"/>
      <c r="S103" s="95"/>
      <c r="T103" s="36"/>
      <c r="U103" s="36"/>
      <c r="V103" s="36"/>
      <c r="W103" s="36"/>
      <c r="X103" s="96"/>
      <c r="Y103" s="36"/>
      <c r="Z103" s="36"/>
      <c r="AA103" s="36"/>
      <c r="AB103" s="36"/>
      <c r="AC103" s="96"/>
      <c r="AD103" s="36"/>
      <c r="AE103" s="36"/>
      <c r="AF103" s="36"/>
      <c r="AG103" s="36"/>
      <c r="AH103" s="96"/>
      <c r="AI103" s="36"/>
      <c r="AJ103" s="36"/>
      <c r="AK103" s="36"/>
      <c r="AL103" s="36"/>
      <c r="AM103" s="96"/>
      <c r="AN103" s="36"/>
      <c r="AO103" s="36"/>
      <c r="AP103" s="36"/>
      <c r="AQ103" s="36"/>
      <c r="AR103" s="96"/>
      <c r="AS103" s="36"/>
      <c r="AT103" s="36"/>
      <c r="AU103" s="36"/>
      <c r="AV103" s="36"/>
      <c r="AW103" s="97"/>
      <c r="AX103" s="36"/>
      <c r="AY103" s="36"/>
      <c r="AZ103" s="36"/>
      <c r="BA103" s="36"/>
      <c r="BB103" s="96"/>
      <c r="BC103" s="36"/>
      <c r="BD103" s="36"/>
      <c r="BE103" s="36"/>
      <c r="BF103" s="36"/>
      <c r="BG103" s="96"/>
      <c r="BH103" s="36"/>
      <c r="BI103" s="36"/>
      <c r="BJ103" s="36"/>
      <c r="BK103" s="42"/>
    </row>
    <row r="104" ht="21.0" customHeight="1">
      <c r="A104" s="17"/>
      <c r="B104" s="44" t="s">
        <v>144</v>
      </c>
      <c r="C104" s="44" t="s">
        <v>307</v>
      </c>
      <c r="D104" s="98">
        <v>44804.0</v>
      </c>
      <c r="E104" s="135"/>
      <c r="F104" s="44" t="s">
        <v>115</v>
      </c>
      <c r="G104" s="44" t="s">
        <v>115</v>
      </c>
      <c r="H104" s="44" t="s">
        <v>308</v>
      </c>
      <c r="I104" s="100"/>
      <c r="J104" s="100"/>
      <c r="K104" s="100"/>
      <c r="L104" s="100"/>
      <c r="M104" s="136"/>
      <c r="N104" s="137">
        <v>171.51</v>
      </c>
      <c r="O104" s="47"/>
      <c r="P104" s="47"/>
      <c r="Q104" s="47"/>
      <c r="R104" s="48"/>
      <c r="S104" s="101"/>
      <c r="T104" s="47"/>
      <c r="U104" s="47"/>
      <c r="V104" s="47"/>
      <c r="W104" s="48"/>
      <c r="X104" s="100"/>
      <c r="Y104" s="47"/>
      <c r="Z104" s="47"/>
      <c r="AA104" s="47"/>
      <c r="AB104" s="48"/>
      <c r="AC104" s="50"/>
      <c r="AD104" s="47"/>
      <c r="AE104" s="47"/>
      <c r="AF104" s="47"/>
      <c r="AG104" s="48"/>
      <c r="AH104" s="52"/>
      <c r="AI104" s="47"/>
      <c r="AJ104" s="47"/>
      <c r="AK104" s="47"/>
      <c r="AL104" s="48"/>
      <c r="AM104" s="50"/>
      <c r="AN104" s="47"/>
      <c r="AO104" s="47"/>
      <c r="AP104" s="47"/>
      <c r="AQ104" s="48"/>
      <c r="AR104" s="52"/>
      <c r="AS104" s="47"/>
      <c r="AT104" s="47"/>
      <c r="AU104" s="47"/>
      <c r="AV104" s="48"/>
      <c r="AW104" s="53" t="s">
        <v>117</v>
      </c>
      <c r="AX104" s="47"/>
      <c r="AY104" s="47"/>
      <c r="AZ104" s="47"/>
      <c r="BA104" s="48"/>
      <c r="BB104" s="54">
        <f>SUM(N104:R122)</f>
        <v>555.93</v>
      </c>
      <c r="BC104" s="47"/>
      <c r="BD104" s="47"/>
      <c r="BE104" s="47"/>
      <c r="BF104" s="48"/>
      <c r="BG104" s="55" t="s">
        <v>22</v>
      </c>
      <c r="BH104" s="47"/>
      <c r="BI104" s="47"/>
      <c r="BJ104" s="47"/>
      <c r="BK104" s="56"/>
    </row>
    <row r="105" ht="21.0" customHeight="1">
      <c r="A105" s="17"/>
      <c r="B105" s="44" t="s">
        <v>144</v>
      </c>
      <c r="C105" s="44" t="s">
        <v>309</v>
      </c>
      <c r="D105" s="98">
        <v>44854.0</v>
      </c>
      <c r="E105" s="48"/>
      <c r="F105" s="44" t="s">
        <v>115</v>
      </c>
      <c r="G105" s="44" t="s">
        <v>115</v>
      </c>
      <c r="H105" s="44" t="s">
        <v>308</v>
      </c>
      <c r="I105" s="100"/>
      <c r="J105" s="47"/>
      <c r="K105" s="47"/>
      <c r="L105" s="47"/>
      <c r="M105" s="48"/>
      <c r="N105" s="137">
        <v>226.8</v>
      </c>
      <c r="O105" s="47"/>
      <c r="P105" s="47"/>
      <c r="Q105" s="47"/>
      <c r="R105" s="48"/>
      <c r="S105" s="130"/>
      <c r="T105" s="47"/>
      <c r="U105" s="47"/>
      <c r="V105" s="47"/>
      <c r="W105" s="48"/>
      <c r="X105" s="100"/>
      <c r="Y105" s="47"/>
      <c r="Z105" s="47"/>
      <c r="AA105" s="47"/>
      <c r="AB105" s="48"/>
      <c r="AC105" s="50"/>
      <c r="AD105" s="47"/>
      <c r="AE105" s="47"/>
      <c r="AF105" s="47"/>
      <c r="AG105" s="48"/>
      <c r="AH105" s="52"/>
      <c r="AI105" s="47"/>
      <c r="AJ105" s="47"/>
      <c r="AK105" s="47"/>
      <c r="AL105" s="48"/>
      <c r="AM105" s="50"/>
      <c r="AN105" s="47"/>
      <c r="AO105" s="47"/>
      <c r="AP105" s="47"/>
      <c r="AQ105" s="48"/>
      <c r="AR105" s="52"/>
      <c r="AS105" s="47"/>
      <c r="AT105" s="47"/>
      <c r="AU105" s="47"/>
      <c r="AV105" s="48"/>
      <c r="AW105" s="53"/>
      <c r="AX105" s="47"/>
      <c r="AY105" s="47"/>
      <c r="AZ105" s="47"/>
      <c r="BA105" s="48"/>
      <c r="BB105" s="54">
        <f>SUM(X104:AB122)</f>
        <v>488.9</v>
      </c>
      <c r="BC105" s="47"/>
      <c r="BD105" s="47"/>
      <c r="BE105" s="47"/>
      <c r="BF105" s="48"/>
      <c r="BG105" s="55" t="s">
        <v>3</v>
      </c>
      <c r="BH105" s="47"/>
      <c r="BI105" s="47"/>
      <c r="BJ105" s="47"/>
      <c r="BK105" s="56"/>
    </row>
    <row r="106" ht="21.0" customHeight="1">
      <c r="A106" s="17"/>
      <c r="B106" s="44" t="s">
        <v>144</v>
      </c>
      <c r="C106" s="138" t="s">
        <v>313</v>
      </c>
      <c r="D106" s="98">
        <v>44886.0</v>
      </c>
      <c r="E106" s="48"/>
      <c r="F106" s="44" t="s">
        <v>115</v>
      </c>
      <c r="G106" s="44" t="s">
        <v>115</v>
      </c>
      <c r="H106" s="44" t="s">
        <v>308</v>
      </c>
      <c r="I106" s="100"/>
      <c r="J106" s="47"/>
      <c r="K106" s="47"/>
      <c r="L106" s="47"/>
      <c r="M106" s="48"/>
      <c r="N106" s="137">
        <v>157.62</v>
      </c>
      <c r="O106" s="47"/>
      <c r="P106" s="47"/>
      <c r="Q106" s="47"/>
      <c r="R106" s="48"/>
      <c r="S106" s="130"/>
      <c r="T106" s="47"/>
      <c r="U106" s="47"/>
      <c r="V106" s="47"/>
      <c r="W106" s="48"/>
      <c r="X106" s="100"/>
      <c r="Y106" s="47"/>
      <c r="Z106" s="47"/>
      <c r="AA106" s="47"/>
      <c r="AB106" s="48"/>
      <c r="AC106" s="50"/>
      <c r="AD106" s="47"/>
      <c r="AE106" s="47"/>
      <c r="AF106" s="47"/>
      <c r="AG106" s="48"/>
      <c r="AH106" s="52"/>
      <c r="AI106" s="47"/>
      <c r="AJ106" s="47"/>
      <c r="AK106" s="47"/>
      <c r="AL106" s="48"/>
      <c r="AM106" s="50"/>
      <c r="AN106" s="47"/>
      <c r="AO106" s="47"/>
      <c r="AP106" s="47"/>
      <c r="AQ106" s="48"/>
      <c r="AR106" s="52"/>
      <c r="AS106" s="47"/>
      <c r="AT106" s="47"/>
      <c r="AU106" s="47"/>
      <c r="AV106" s="48"/>
      <c r="AW106" s="53"/>
      <c r="AX106" s="47"/>
      <c r="AY106" s="47"/>
      <c r="AZ106" s="47"/>
      <c r="BA106" s="48"/>
      <c r="BB106" s="54">
        <f>SUM(AH104:AL123)</f>
        <v>1106.71</v>
      </c>
      <c r="BC106" s="47"/>
      <c r="BD106" s="47"/>
      <c r="BE106" s="47"/>
      <c r="BF106" s="48"/>
      <c r="BG106" s="55" t="s">
        <v>4</v>
      </c>
      <c r="BH106" s="47"/>
      <c r="BI106" s="47"/>
      <c r="BJ106" s="47"/>
      <c r="BK106" s="56"/>
    </row>
    <row r="107" ht="21.0" customHeight="1">
      <c r="A107" s="17"/>
      <c r="B107" s="44" t="s">
        <v>51</v>
      </c>
      <c r="C107" s="44" t="s">
        <v>316</v>
      </c>
      <c r="D107" s="98">
        <v>44959.0</v>
      </c>
      <c r="E107" s="48"/>
      <c r="F107" s="44" t="s">
        <v>115</v>
      </c>
      <c r="G107" s="44" t="s">
        <v>115</v>
      </c>
      <c r="H107" s="44" t="s">
        <v>308</v>
      </c>
      <c r="I107" s="100"/>
      <c r="J107" s="47"/>
      <c r="K107" s="47"/>
      <c r="L107" s="47"/>
      <c r="M107" s="48"/>
      <c r="N107" s="51"/>
      <c r="O107" s="47"/>
      <c r="P107" s="47"/>
      <c r="Q107" s="47"/>
      <c r="R107" s="48"/>
      <c r="S107" s="130"/>
      <c r="T107" s="47"/>
      <c r="U107" s="47"/>
      <c r="V107" s="47"/>
      <c r="W107" s="48"/>
      <c r="X107" s="137">
        <v>156.8</v>
      </c>
      <c r="Y107" s="47"/>
      <c r="Z107" s="47"/>
      <c r="AA107" s="47"/>
      <c r="AB107" s="48"/>
      <c r="AC107" s="50"/>
      <c r="AD107" s="47"/>
      <c r="AE107" s="47"/>
      <c r="AF107" s="47"/>
      <c r="AG107" s="48"/>
      <c r="AH107" s="52"/>
      <c r="AI107" s="47"/>
      <c r="AJ107" s="47"/>
      <c r="AK107" s="47"/>
      <c r="AL107" s="48"/>
      <c r="AM107" s="50"/>
      <c r="AN107" s="47"/>
      <c r="AO107" s="47"/>
      <c r="AP107" s="47"/>
      <c r="AQ107" s="48"/>
      <c r="AR107" s="52"/>
      <c r="AS107" s="47"/>
      <c r="AT107" s="47"/>
      <c r="AU107" s="47"/>
      <c r="AV107" s="48"/>
      <c r="AW107" s="53"/>
      <c r="AX107" s="47"/>
      <c r="AY107" s="47"/>
      <c r="AZ107" s="47"/>
      <c r="BA107" s="48"/>
      <c r="BB107" s="54">
        <f>SUM(AR104:AV123)</f>
        <v>190.57</v>
      </c>
      <c r="BC107" s="47"/>
      <c r="BD107" s="47"/>
      <c r="BE107" s="47"/>
      <c r="BF107" s="48"/>
      <c r="BG107" s="55" t="s">
        <v>5</v>
      </c>
      <c r="BH107" s="47"/>
      <c r="BI107" s="47"/>
      <c r="BJ107" s="47"/>
      <c r="BK107" s="56"/>
    </row>
    <row r="108" ht="21.0" customHeight="1">
      <c r="A108" s="17"/>
      <c r="B108" s="44" t="s">
        <v>129</v>
      </c>
      <c r="C108" s="44" t="s">
        <v>318</v>
      </c>
      <c r="D108" s="98">
        <v>44969.0</v>
      </c>
      <c r="E108" s="48"/>
      <c r="F108" s="44" t="s">
        <v>115</v>
      </c>
      <c r="G108" s="44" t="s">
        <v>115</v>
      </c>
      <c r="H108" s="44" t="s">
        <v>319</v>
      </c>
      <c r="I108" s="100"/>
      <c r="J108" s="47"/>
      <c r="K108" s="47"/>
      <c r="L108" s="47"/>
      <c r="M108" s="48"/>
      <c r="N108" s="51"/>
      <c r="O108" s="47"/>
      <c r="P108" s="47"/>
      <c r="Q108" s="47"/>
      <c r="R108" s="48"/>
      <c r="S108" s="130"/>
      <c r="T108" s="47"/>
      <c r="U108" s="47"/>
      <c r="V108" s="47"/>
      <c r="W108" s="48"/>
      <c r="X108" s="137">
        <v>14.33</v>
      </c>
      <c r="Y108" s="47"/>
      <c r="Z108" s="47"/>
      <c r="AA108" s="47"/>
      <c r="AB108" s="48"/>
      <c r="AC108" s="50"/>
      <c r="AD108" s="47"/>
      <c r="AE108" s="47"/>
      <c r="AF108" s="47"/>
      <c r="AG108" s="48"/>
      <c r="AH108" s="52"/>
      <c r="AI108" s="47"/>
      <c r="AJ108" s="47"/>
      <c r="AK108" s="47"/>
      <c r="AL108" s="48"/>
      <c r="AM108" s="50"/>
      <c r="AN108" s="47"/>
      <c r="AO108" s="47"/>
      <c r="AP108" s="47"/>
      <c r="AQ108" s="48"/>
      <c r="AR108" s="52"/>
      <c r="AS108" s="47"/>
      <c r="AT108" s="47"/>
      <c r="AU108" s="47"/>
      <c r="AV108" s="48"/>
      <c r="AW108" s="53"/>
      <c r="AX108" s="47"/>
      <c r="AY108" s="47"/>
      <c r="AZ108" s="47"/>
      <c r="BA108" s="48"/>
      <c r="BB108" s="54"/>
      <c r="BC108" s="47"/>
      <c r="BD108" s="47"/>
      <c r="BE108" s="47"/>
      <c r="BF108" s="48"/>
      <c r="BG108" s="55"/>
      <c r="BH108" s="47"/>
      <c r="BI108" s="47"/>
      <c r="BJ108" s="47"/>
      <c r="BK108" s="56"/>
    </row>
    <row r="109" ht="21.0" customHeight="1">
      <c r="A109" s="17"/>
      <c r="B109" s="44" t="s">
        <v>144</v>
      </c>
      <c r="C109" s="44" t="s">
        <v>321</v>
      </c>
      <c r="D109" s="98">
        <v>44895.0</v>
      </c>
      <c r="E109" s="48"/>
      <c r="F109" s="44" t="s">
        <v>115</v>
      </c>
      <c r="G109" s="44" t="s">
        <v>115</v>
      </c>
      <c r="H109" s="44" t="s">
        <v>308</v>
      </c>
      <c r="I109" s="100"/>
      <c r="J109" s="47"/>
      <c r="K109" s="47"/>
      <c r="L109" s="47"/>
      <c r="M109" s="48"/>
      <c r="N109" s="51"/>
      <c r="O109" s="47"/>
      <c r="P109" s="47"/>
      <c r="Q109" s="47"/>
      <c r="R109" s="48"/>
      <c r="S109" s="130"/>
      <c r="T109" s="47"/>
      <c r="U109" s="47"/>
      <c r="V109" s="47"/>
      <c r="W109" s="48"/>
      <c r="X109" s="137">
        <v>156.65</v>
      </c>
      <c r="Y109" s="47"/>
      <c r="Z109" s="47"/>
      <c r="AA109" s="47"/>
      <c r="AB109" s="48"/>
      <c r="AC109" s="50"/>
      <c r="AD109" s="47"/>
      <c r="AE109" s="47"/>
      <c r="AF109" s="47"/>
      <c r="AG109" s="48"/>
      <c r="AH109" s="52"/>
      <c r="AI109" s="47"/>
      <c r="AJ109" s="47"/>
      <c r="AK109" s="47"/>
      <c r="AL109" s="48"/>
      <c r="AM109" s="50"/>
      <c r="AN109" s="47"/>
      <c r="AO109" s="47"/>
      <c r="AP109" s="47"/>
      <c r="AQ109" s="48"/>
      <c r="AR109" s="52"/>
      <c r="AS109" s="47"/>
      <c r="AT109" s="47"/>
      <c r="AU109" s="47"/>
      <c r="AV109" s="48"/>
      <c r="AW109" s="53"/>
      <c r="AX109" s="47"/>
      <c r="AY109" s="47"/>
      <c r="AZ109" s="47"/>
      <c r="BA109" s="48"/>
      <c r="BB109" s="59"/>
      <c r="BC109" s="47"/>
      <c r="BD109" s="47"/>
      <c r="BE109" s="47"/>
      <c r="BF109" s="48"/>
      <c r="BG109" s="59"/>
      <c r="BH109" s="47"/>
      <c r="BI109" s="47"/>
      <c r="BJ109" s="47"/>
      <c r="BK109" s="56"/>
    </row>
    <row r="110" ht="21.0" customHeight="1">
      <c r="A110" s="17"/>
      <c r="B110" s="44" t="s">
        <v>144</v>
      </c>
      <c r="C110" s="44" t="s">
        <v>322</v>
      </c>
      <c r="D110" s="98">
        <v>44926.0</v>
      </c>
      <c r="E110" s="48"/>
      <c r="F110" s="44" t="s">
        <v>115</v>
      </c>
      <c r="G110" s="44" t="s">
        <v>115</v>
      </c>
      <c r="H110" s="44" t="s">
        <v>308</v>
      </c>
      <c r="I110" s="100"/>
      <c r="J110" s="47"/>
      <c r="K110" s="47"/>
      <c r="L110" s="47"/>
      <c r="M110" s="48"/>
      <c r="N110" s="51"/>
      <c r="O110" s="47"/>
      <c r="P110" s="47"/>
      <c r="Q110" s="47"/>
      <c r="R110" s="48"/>
      <c r="S110" s="130"/>
      <c r="T110" s="47"/>
      <c r="U110" s="47"/>
      <c r="V110" s="47"/>
      <c r="W110" s="48"/>
      <c r="X110" s="137">
        <v>161.12</v>
      </c>
      <c r="Y110" s="47"/>
      <c r="Z110" s="47"/>
      <c r="AA110" s="47"/>
      <c r="AB110" s="48"/>
      <c r="AC110" s="50"/>
      <c r="AD110" s="47"/>
      <c r="AE110" s="47"/>
      <c r="AF110" s="47"/>
      <c r="AG110" s="48"/>
      <c r="AH110" s="51"/>
      <c r="AI110" s="47"/>
      <c r="AJ110" s="47"/>
      <c r="AK110" s="47"/>
      <c r="AL110" s="48"/>
      <c r="AM110" s="50"/>
      <c r="AN110" s="47"/>
      <c r="AO110" s="47"/>
      <c r="AP110" s="47"/>
      <c r="AQ110" s="48"/>
      <c r="AR110" s="100"/>
      <c r="AS110" s="47"/>
      <c r="AT110" s="47"/>
      <c r="AU110" s="47"/>
      <c r="AV110" s="48"/>
      <c r="AW110" s="53"/>
      <c r="AX110" s="47"/>
      <c r="AY110" s="47"/>
      <c r="AZ110" s="47"/>
      <c r="BA110" s="48"/>
      <c r="BB110" s="59"/>
      <c r="BC110" s="47"/>
      <c r="BD110" s="47"/>
      <c r="BE110" s="47"/>
      <c r="BF110" s="48"/>
      <c r="BG110" s="59"/>
      <c r="BH110" s="47"/>
      <c r="BI110" s="47"/>
      <c r="BJ110" s="47"/>
      <c r="BK110" s="56"/>
    </row>
    <row r="111" ht="21.0" customHeight="1">
      <c r="A111" s="17"/>
      <c r="B111" s="44" t="s">
        <v>144</v>
      </c>
      <c r="C111" s="44" t="s">
        <v>323</v>
      </c>
      <c r="D111" s="98">
        <v>44957.0</v>
      </c>
      <c r="E111" s="48"/>
      <c r="F111" s="44" t="s">
        <v>115</v>
      </c>
      <c r="G111" s="44" t="s">
        <v>115</v>
      </c>
      <c r="H111" s="44" t="s">
        <v>308</v>
      </c>
      <c r="I111" s="100"/>
      <c r="J111" s="47"/>
      <c r="K111" s="47"/>
      <c r="L111" s="47"/>
      <c r="M111" s="48"/>
      <c r="N111" s="51"/>
      <c r="O111" s="47"/>
      <c r="P111" s="47"/>
      <c r="Q111" s="47"/>
      <c r="R111" s="48"/>
      <c r="S111" s="130"/>
      <c r="T111" s="47"/>
      <c r="U111" s="47"/>
      <c r="V111" s="47"/>
      <c r="W111" s="48"/>
      <c r="X111" s="52"/>
      <c r="Y111" s="47"/>
      <c r="Z111" s="47"/>
      <c r="AA111" s="47"/>
      <c r="AB111" s="48"/>
      <c r="AC111" s="50"/>
      <c r="AD111" s="47"/>
      <c r="AE111" s="47"/>
      <c r="AF111" s="47"/>
      <c r="AG111" s="48"/>
      <c r="AH111" s="137">
        <v>172.81</v>
      </c>
      <c r="AI111" s="47"/>
      <c r="AJ111" s="47"/>
      <c r="AK111" s="47"/>
      <c r="AL111" s="48"/>
      <c r="AM111" s="50"/>
      <c r="AN111" s="47"/>
      <c r="AO111" s="47"/>
      <c r="AP111" s="47"/>
      <c r="AQ111" s="48"/>
      <c r="AR111" s="100"/>
      <c r="AS111" s="47"/>
      <c r="AT111" s="47"/>
      <c r="AU111" s="47"/>
      <c r="AV111" s="48"/>
      <c r="AW111" s="53"/>
      <c r="AX111" s="47"/>
      <c r="AY111" s="47"/>
      <c r="AZ111" s="47"/>
      <c r="BA111" s="48"/>
      <c r="BB111" s="59"/>
      <c r="BC111" s="47"/>
      <c r="BD111" s="47"/>
      <c r="BE111" s="47"/>
      <c r="BF111" s="48"/>
      <c r="BG111" s="59"/>
      <c r="BH111" s="47"/>
      <c r="BI111" s="47"/>
      <c r="BJ111" s="47"/>
      <c r="BK111" s="56"/>
    </row>
    <row r="112" ht="21.0" customHeight="1">
      <c r="A112" s="17"/>
      <c r="B112" s="44" t="s">
        <v>144</v>
      </c>
      <c r="C112" s="44" t="s">
        <v>324</v>
      </c>
      <c r="D112" s="98">
        <v>44985.0</v>
      </c>
      <c r="E112" s="48"/>
      <c r="F112" s="44" t="s">
        <v>115</v>
      </c>
      <c r="G112" s="44" t="s">
        <v>115</v>
      </c>
      <c r="H112" s="44" t="s">
        <v>308</v>
      </c>
      <c r="I112" s="100"/>
      <c r="J112" s="47"/>
      <c r="K112" s="47"/>
      <c r="L112" s="47"/>
      <c r="M112" s="48"/>
      <c r="N112" s="51"/>
      <c r="O112" s="47"/>
      <c r="P112" s="47"/>
      <c r="Q112" s="47"/>
      <c r="R112" s="48"/>
      <c r="S112" s="130"/>
      <c r="T112" s="47"/>
      <c r="U112" s="47"/>
      <c r="V112" s="47"/>
      <c r="W112" s="48"/>
      <c r="X112" s="52"/>
      <c r="Y112" s="47"/>
      <c r="Z112" s="47"/>
      <c r="AA112" s="47"/>
      <c r="AB112" s="48"/>
      <c r="AC112" s="50"/>
      <c r="AD112" s="47"/>
      <c r="AE112" s="47"/>
      <c r="AF112" s="47"/>
      <c r="AG112" s="48"/>
      <c r="AH112" s="137">
        <v>185.12</v>
      </c>
      <c r="AI112" s="47"/>
      <c r="AJ112" s="47"/>
      <c r="AK112" s="47"/>
      <c r="AL112" s="48"/>
      <c r="AM112" s="50"/>
      <c r="AN112" s="47"/>
      <c r="AO112" s="47"/>
      <c r="AP112" s="47"/>
      <c r="AQ112" s="48"/>
      <c r="AR112" s="51"/>
      <c r="AS112" s="47"/>
      <c r="AT112" s="47"/>
      <c r="AU112" s="47"/>
      <c r="AV112" s="48"/>
      <c r="AW112" s="53"/>
      <c r="AX112" s="47"/>
      <c r="AY112" s="47"/>
      <c r="AZ112" s="47"/>
      <c r="BA112" s="48"/>
      <c r="BB112" s="59"/>
      <c r="BC112" s="47"/>
      <c r="BD112" s="47"/>
      <c r="BE112" s="47"/>
      <c r="BF112" s="48"/>
      <c r="BG112" s="59"/>
      <c r="BH112" s="47"/>
      <c r="BI112" s="47"/>
      <c r="BJ112" s="47"/>
      <c r="BK112" s="56"/>
    </row>
    <row r="113" ht="21.0" customHeight="1">
      <c r="A113" s="17"/>
      <c r="B113" s="44" t="s">
        <v>144</v>
      </c>
      <c r="C113" s="44" t="s">
        <v>325</v>
      </c>
      <c r="D113" s="98">
        <v>45016.0</v>
      </c>
      <c r="E113" s="48"/>
      <c r="F113" s="44" t="s">
        <v>115</v>
      </c>
      <c r="G113" s="44" t="s">
        <v>115</v>
      </c>
      <c r="H113" s="44" t="s">
        <v>308</v>
      </c>
      <c r="I113" s="100"/>
      <c r="J113" s="47"/>
      <c r="K113" s="47"/>
      <c r="L113" s="47"/>
      <c r="M113" s="48"/>
      <c r="N113" s="51"/>
      <c r="O113" s="47"/>
      <c r="P113" s="47"/>
      <c r="Q113" s="47"/>
      <c r="R113" s="48"/>
      <c r="S113" s="130"/>
      <c r="T113" s="47"/>
      <c r="U113" s="47"/>
      <c r="V113" s="47"/>
      <c r="W113" s="48"/>
      <c r="X113" s="52"/>
      <c r="Y113" s="47"/>
      <c r="Z113" s="47"/>
      <c r="AA113" s="47"/>
      <c r="AB113" s="48"/>
      <c r="AC113" s="50"/>
      <c r="AD113" s="47"/>
      <c r="AE113" s="47"/>
      <c r="AF113" s="47"/>
      <c r="AG113" s="48"/>
      <c r="AH113" s="137">
        <v>181.5</v>
      </c>
      <c r="AI113" s="47"/>
      <c r="AJ113" s="47"/>
      <c r="AK113" s="47"/>
      <c r="AL113" s="48"/>
      <c r="AM113" s="50"/>
      <c r="AN113" s="47"/>
      <c r="AO113" s="47"/>
      <c r="AP113" s="47"/>
      <c r="AQ113" s="48"/>
      <c r="AR113" s="51"/>
      <c r="AS113" s="47"/>
      <c r="AT113" s="47"/>
      <c r="AU113" s="47"/>
      <c r="AV113" s="48"/>
      <c r="AW113" s="53"/>
      <c r="AX113" s="47"/>
      <c r="AY113" s="47"/>
      <c r="AZ113" s="47"/>
      <c r="BA113" s="48"/>
      <c r="BB113" s="59"/>
      <c r="BC113" s="47"/>
      <c r="BD113" s="47"/>
      <c r="BE113" s="47"/>
      <c r="BF113" s="48"/>
      <c r="BG113" s="59"/>
      <c r="BH113" s="47"/>
      <c r="BI113" s="47"/>
      <c r="BJ113" s="47"/>
      <c r="BK113" s="56"/>
    </row>
    <row r="114" ht="21.0" customHeight="1">
      <c r="A114" s="17"/>
      <c r="B114" s="44" t="s">
        <v>252</v>
      </c>
      <c r="C114" s="44" t="s">
        <v>326</v>
      </c>
      <c r="D114" s="98">
        <v>45096.0</v>
      </c>
      <c r="E114" s="48"/>
      <c r="F114" s="44" t="s">
        <v>155</v>
      </c>
      <c r="G114" s="44" t="s">
        <v>115</v>
      </c>
      <c r="H114" s="44" t="s">
        <v>319</v>
      </c>
      <c r="I114" s="100"/>
      <c r="J114" s="47"/>
      <c r="K114" s="47"/>
      <c r="L114" s="47"/>
      <c r="M114" s="48"/>
      <c r="N114" s="51"/>
      <c r="O114" s="47"/>
      <c r="P114" s="47"/>
      <c r="Q114" s="47"/>
      <c r="R114" s="48"/>
      <c r="S114" s="130"/>
      <c r="T114" s="47"/>
      <c r="U114" s="47"/>
      <c r="V114" s="47"/>
      <c r="W114" s="48"/>
      <c r="X114" s="52"/>
      <c r="Y114" s="47"/>
      <c r="Z114" s="47"/>
      <c r="AA114" s="47"/>
      <c r="AB114" s="48"/>
      <c r="AC114" s="50"/>
      <c r="AD114" s="47"/>
      <c r="AE114" s="47"/>
      <c r="AF114" s="47"/>
      <c r="AG114" s="48"/>
      <c r="AH114" s="137">
        <v>106.9</v>
      </c>
      <c r="AI114" s="47"/>
      <c r="AJ114" s="47"/>
      <c r="AK114" s="47"/>
      <c r="AL114" s="48"/>
      <c r="AM114" s="50"/>
      <c r="AN114" s="47"/>
      <c r="AO114" s="47"/>
      <c r="AP114" s="47"/>
      <c r="AQ114" s="48"/>
      <c r="AR114" s="51"/>
      <c r="AS114" s="47"/>
      <c r="AT114" s="47"/>
      <c r="AU114" s="47"/>
      <c r="AV114" s="48"/>
      <c r="AW114" s="53"/>
      <c r="AX114" s="47"/>
      <c r="AY114" s="47"/>
      <c r="AZ114" s="47"/>
      <c r="BA114" s="48"/>
      <c r="BB114" s="59"/>
      <c r="BC114" s="47"/>
      <c r="BD114" s="47"/>
      <c r="BE114" s="47"/>
      <c r="BF114" s="48"/>
      <c r="BG114" s="59"/>
      <c r="BH114" s="47"/>
      <c r="BI114" s="47"/>
      <c r="BJ114" s="47"/>
      <c r="BK114" s="56"/>
    </row>
    <row r="115" ht="21.0" customHeight="1">
      <c r="A115" s="17"/>
      <c r="B115" s="44" t="s">
        <v>144</v>
      </c>
      <c r="C115" s="138" t="s">
        <v>328</v>
      </c>
      <c r="D115" s="98">
        <v>45046.0</v>
      </c>
      <c r="E115" s="48"/>
      <c r="F115" s="44" t="s">
        <v>115</v>
      </c>
      <c r="G115" s="44" t="s">
        <v>115</v>
      </c>
      <c r="H115" s="44" t="s">
        <v>308</v>
      </c>
      <c r="I115" s="100"/>
      <c r="J115" s="47"/>
      <c r="K115" s="47"/>
      <c r="L115" s="47"/>
      <c r="M115" s="48"/>
      <c r="N115" s="51"/>
      <c r="O115" s="47"/>
      <c r="P115" s="47"/>
      <c r="Q115" s="47"/>
      <c r="R115" s="48"/>
      <c r="S115" s="130"/>
      <c r="T115" s="47"/>
      <c r="U115" s="47"/>
      <c r="V115" s="47"/>
      <c r="W115" s="48"/>
      <c r="X115" s="52"/>
      <c r="Y115" s="47"/>
      <c r="Z115" s="47"/>
      <c r="AA115" s="47"/>
      <c r="AB115" s="48"/>
      <c r="AC115" s="50"/>
      <c r="AD115" s="47"/>
      <c r="AE115" s="47"/>
      <c r="AF115" s="47"/>
      <c r="AG115" s="48"/>
      <c r="AH115" s="137">
        <v>167.13</v>
      </c>
      <c r="AI115" s="47"/>
      <c r="AJ115" s="47"/>
      <c r="AK115" s="47"/>
      <c r="AL115" s="48"/>
      <c r="AM115" s="50"/>
      <c r="AN115" s="47"/>
      <c r="AO115" s="47"/>
      <c r="AP115" s="47"/>
      <c r="AQ115" s="48"/>
      <c r="AR115" s="51"/>
      <c r="AS115" s="47"/>
      <c r="AT115" s="47"/>
      <c r="AU115" s="47"/>
      <c r="AV115" s="48"/>
      <c r="AW115" s="53"/>
      <c r="AX115" s="47"/>
      <c r="AY115" s="47"/>
      <c r="AZ115" s="47"/>
      <c r="BA115" s="48"/>
      <c r="BB115" s="59"/>
      <c r="BC115" s="47"/>
      <c r="BD115" s="47"/>
      <c r="BE115" s="47"/>
      <c r="BF115" s="48"/>
      <c r="BG115" s="59"/>
      <c r="BH115" s="47"/>
      <c r="BI115" s="47"/>
      <c r="BJ115" s="47"/>
      <c r="BK115" s="56"/>
    </row>
    <row r="116" ht="21.0" customHeight="1">
      <c r="A116" s="17"/>
      <c r="B116" s="44" t="s">
        <v>144</v>
      </c>
      <c r="C116" s="138" t="s">
        <v>338</v>
      </c>
      <c r="D116" s="98">
        <v>45077.0</v>
      </c>
      <c r="E116" s="48"/>
      <c r="F116" s="44" t="s">
        <v>115</v>
      </c>
      <c r="G116" s="44" t="s">
        <v>115</v>
      </c>
      <c r="H116" s="44" t="s">
        <v>308</v>
      </c>
      <c r="I116" s="100"/>
      <c r="J116" s="47"/>
      <c r="K116" s="47"/>
      <c r="L116" s="47"/>
      <c r="M116" s="48"/>
      <c r="N116" s="51"/>
      <c r="O116" s="47"/>
      <c r="P116" s="47"/>
      <c r="Q116" s="47"/>
      <c r="R116" s="48"/>
      <c r="S116" s="130"/>
      <c r="T116" s="47"/>
      <c r="U116" s="47"/>
      <c r="V116" s="47"/>
      <c r="W116" s="48"/>
      <c r="X116" s="52"/>
      <c r="Y116" s="47"/>
      <c r="Z116" s="47"/>
      <c r="AA116" s="47"/>
      <c r="AB116" s="48"/>
      <c r="AC116" s="50"/>
      <c r="AD116" s="47"/>
      <c r="AE116" s="47"/>
      <c r="AF116" s="47"/>
      <c r="AG116" s="48"/>
      <c r="AH116" s="137">
        <v>159.36</v>
      </c>
      <c r="AI116" s="47"/>
      <c r="AJ116" s="47"/>
      <c r="AK116" s="47"/>
      <c r="AL116" s="48"/>
      <c r="AM116" s="50"/>
      <c r="AN116" s="47"/>
      <c r="AO116" s="47"/>
      <c r="AP116" s="47"/>
      <c r="AQ116" s="48"/>
      <c r="AR116" s="51"/>
      <c r="AS116" s="47"/>
      <c r="AT116" s="47"/>
      <c r="AU116" s="47"/>
      <c r="AV116" s="48"/>
      <c r="AW116" s="53"/>
      <c r="AX116" s="47"/>
      <c r="AY116" s="47"/>
      <c r="AZ116" s="47"/>
      <c r="BA116" s="48"/>
      <c r="BB116" s="59"/>
      <c r="BC116" s="47"/>
      <c r="BD116" s="47"/>
      <c r="BE116" s="47"/>
      <c r="BF116" s="48"/>
      <c r="BG116" s="59"/>
      <c r="BH116" s="47"/>
      <c r="BI116" s="47"/>
      <c r="BJ116" s="47"/>
      <c r="BK116" s="56"/>
    </row>
    <row r="117" ht="21.0" customHeight="1">
      <c r="A117" s="17"/>
      <c r="B117" s="44" t="s">
        <v>144</v>
      </c>
      <c r="C117" s="138" t="s">
        <v>340</v>
      </c>
      <c r="D117" s="98">
        <v>45107.0</v>
      </c>
      <c r="E117" s="48"/>
      <c r="F117" s="44" t="s">
        <v>115</v>
      </c>
      <c r="G117" s="44" t="s">
        <v>115</v>
      </c>
      <c r="H117" s="44" t="s">
        <v>308</v>
      </c>
      <c r="I117" s="100"/>
      <c r="J117" s="47"/>
      <c r="K117" s="47"/>
      <c r="L117" s="47"/>
      <c r="M117" s="48"/>
      <c r="N117" s="51"/>
      <c r="O117" s="47"/>
      <c r="P117" s="47"/>
      <c r="Q117" s="47"/>
      <c r="R117" s="48"/>
      <c r="S117" s="130"/>
      <c r="T117" s="47"/>
      <c r="U117" s="47"/>
      <c r="V117" s="47"/>
      <c r="W117" s="48"/>
      <c r="X117" s="52"/>
      <c r="Y117" s="47"/>
      <c r="Z117" s="47"/>
      <c r="AA117" s="47"/>
      <c r="AB117" s="48"/>
      <c r="AC117" s="50"/>
      <c r="AD117" s="47"/>
      <c r="AE117" s="47"/>
      <c r="AF117" s="47"/>
      <c r="AG117" s="48"/>
      <c r="AH117" s="137">
        <v>133.89</v>
      </c>
      <c r="AI117" s="47"/>
      <c r="AJ117" s="47"/>
      <c r="AK117" s="47"/>
      <c r="AL117" s="48"/>
      <c r="AM117" s="50"/>
      <c r="AN117" s="47"/>
      <c r="AO117" s="47"/>
      <c r="AP117" s="47"/>
      <c r="AQ117" s="48"/>
      <c r="AR117" s="51"/>
      <c r="AS117" s="47"/>
      <c r="AT117" s="47"/>
      <c r="AU117" s="47"/>
      <c r="AV117" s="48"/>
      <c r="AW117" s="53"/>
      <c r="AX117" s="47"/>
      <c r="AY117" s="47"/>
      <c r="AZ117" s="47"/>
      <c r="BA117" s="48"/>
      <c r="BB117" s="59"/>
      <c r="BC117" s="47"/>
      <c r="BD117" s="47"/>
      <c r="BE117" s="47"/>
      <c r="BF117" s="48"/>
      <c r="BG117" s="59"/>
      <c r="BH117" s="47"/>
      <c r="BI117" s="47"/>
      <c r="BJ117" s="47"/>
      <c r="BK117" s="56"/>
    </row>
    <row r="118" ht="21.0" customHeight="1">
      <c r="A118" s="17"/>
      <c r="B118" s="44" t="s">
        <v>144</v>
      </c>
      <c r="C118" s="138" t="s">
        <v>342</v>
      </c>
      <c r="D118" s="98">
        <v>45138.0</v>
      </c>
      <c r="E118" s="48"/>
      <c r="F118" s="44" t="s">
        <v>115</v>
      </c>
      <c r="G118" s="44" t="s">
        <v>115</v>
      </c>
      <c r="H118" s="44" t="s">
        <v>308</v>
      </c>
      <c r="I118" s="100"/>
      <c r="J118" s="47"/>
      <c r="K118" s="47"/>
      <c r="L118" s="47"/>
      <c r="M118" s="48"/>
      <c r="N118" s="51"/>
      <c r="O118" s="47"/>
      <c r="P118" s="47"/>
      <c r="Q118" s="47"/>
      <c r="R118" s="48"/>
      <c r="S118" s="130"/>
      <c r="T118" s="47"/>
      <c r="U118" s="47"/>
      <c r="V118" s="47"/>
      <c r="W118" s="48"/>
      <c r="X118" s="52"/>
      <c r="Y118" s="47"/>
      <c r="Z118" s="47"/>
      <c r="AA118" s="47"/>
      <c r="AB118" s="48"/>
      <c r="AC118" s="50"/>
      <c r="AD118" s="47"/>
      <c r="AE118" s="47"/>
      <c r="AF118" s="47"/>
      <c r="AG118" s="48"/>
      <c r="AH118" s="51"/>
      <c r="AI118" s="47"/>
      <c r="AJ118" s="47"/>
      <c r="AK118" s="47"/>
      <c r="AL118" s="48"/>
      <c r="AM118" s="50"/>
      <c r="AN118" s="47"/>
      <c r="AO118" s="47"/>
      <c r="AP118" s="47"/>
      <c r="AQ118" s="48"/>
      <c r="AR118" s="137">
        <v>135.94</v>
      </c>
      <c r="AS118" s="47"/>
      <c r="AT118" s="47"/>
      <c r="AU118" s="47"/>
      <c r="AV118" s="48"/>
      <c r="AW118" s="53"/>
      <c r="AX118" s="47"/>
      <c r="AY118" s="47"/>
      <c r="AZ118" s="47"/>
      <c r="BA118" s="48"/>
      <c r="BB118" s="59"/>
      <c r="BC118" s="47"/>
      <c r="BD118" s="47"/>
      <c r="BE118" s="47"/>
      <c r="BF118" s="48"/>
      <c r="BG118" s="59"/>
      <c r="BH118" s="47"/>
      <c r="BI118" s="47"/>
      <c r="BJ118" s="47"/>
      <c r="BK118" s="56"/>
    </row>
    <row r="119" ht="21.0" customHeight="1">
      <c r="A119" s="17"/>
      <c r="B119" s="44" t="s">
        <v>57</v>
      </c>
      <c r="C119" s="44" t="s">
        <v>348</v>
      </c>
      <c r="D119" s="98">
        <v>44111.0</v>
      </c>
      <c r="E119" s="48"/>
      <c r="F119" s="44" t="s">
        <v>137</v>
      </c>
      <c r="G119" s="44" t="s">
        <v>115</v>
      </c>
      <c r="H119" s="44" t="s">
        <v>319</v>
      </c>
      <c r="I119" s="100"/>
      <c r="J119" s="47"/>
      <c r="K119" s="47"/>
      <c r="L119" s="47"/>
      <c r="M119" s="48"/>
      <c r="N119" s="51"/>
      <c r="O119" s="47"/>
      <c r="P119" s="47"/>
      <c r="Q119" s="47"/>
      <c r="R119" s="48"/>
      <c r="S119" s="130"/>
      <c r="T119" s="47"/>
      <c r="U119" s="47"/>
      <c r="V119" s="47"/>
      <c r="W119" s="48"/>
      <c r="X119" s="52"/>
      <c r="Y119" s="47"/>
      <c r="Z119" s="47"/>
      <c r="AA119" s="47"/>
      <c r="AB119" s="48"/>
      <c r="AC119" s="50"/>
      <c r="AD119" s="47"/>
      <c r="AE119" s="47"/>
      <c r="AF119" s="47"/>
      <c r="AG119" s="48"/>
      <c r="AH119" s="52"/>
      <c r="AI119" s="47"/>
      <c r="AJ119" s="47"/>
      <c r="AK119" s="47"/>
      <c r="AL119" s="48"/>
      <c r="AM119" s="50"/>
      <c r="AN119" s="47"/>
      <c r="AO119" s="47"/>
      <c r="AP119" s="47"/>
      <c r="AQ119" s="48"/>
      <c r="AR119" s="137">
        <v>54.63</v>
      </c>
      <c r="AS119" s="47"/>
      <c r="AT119" s="47"/>
      <c r="AU119" s="47"/>
      <c r="AV119" s="48"/>
      <c r="AW119" s="53"/>
      <c r="AX119" s="47"/>
      <c r="AY119" s="47"/>
      <c r="AZ119" s="47"/>
      <c r="BA119" s="48"/>
      <c r="BB119" s="59"/>
      <c r="BC119" s="47"/>
      <c r="BD119" s="47"/>
      <c r="BE119" s="47"/>
      <c r="BF119" s="48"/>
      <c r="BG119" s="59"/>
      <c r="BH119" s="47"/>
      <c r="BI119" s="47"/>
      <c r="BJ119" s="47"/>
      <c r="BK119" s="56"/>
    </row>
    <row r="120" ht="21.0" customHeight="1">
      <c r="A120" s="17"/>
      <c r="B120" s="44"/>
      <c r="C120" s="44"/>
      <c r="D120" s="98"/>
      <c r="E120" s="48"/>
      <c r="F120" s="44"/>
      <c r="G120" s="44"/>
      <c r="H120" s="44"/>
      <c r="I120" s="100"/>
      <c r="J120" s="47"/>
      <c r="K120" s="47"/>
      <c r="L120" s="47"/>
      <c r="M120" s="48"/>
      <c r="N120" s="51"/>
      <c r="O120" s="47"/>
      <c r="P120" s="47"/>
      <c r="Q120" s="47"/>
      <c r="R120" s="48"/>
      <c r="S120" s="130"/>
      <c r="T120" s="47"/>
      <c r="U120" s="47"/>
      <c r="V120" s="47"/>
      <c r="W120" s="48"/>
      <c r="X120" s="52"/>
      <c r="Y120" s="47"/>
      <c r="Z120" s="47"/>
      <c r="AA120" s="47"/>
      <c r="AB120" s="48"/>
      <c r="AC120" s="50"/>
      <c r="AD120" s="47"/>
      <c r="AE120" s="47"/>
      <c r="AF120" s="47"/>
      <c r="AG120" s="48"/>
      <c r="AH120" s="101"/>
      <c r="AI120" s="47"/>
      <c r="AJ120" s="47"/>
      <c r="AK120" s="47"/>
      <c r="AL120" s="48"/>
      <c r="AM120" s="46"/>
      <c r="AN120" s="47"/>
      <c r="AO120" s="47"/>
      <c r="AP120" s="47"/>
      <c r="AQ120" s="48"/>
      <c r="AR120" s="99"/>
      <c r="AS120" s="47"/>
      <c r="AT120" s="47"/>
      <c r="AU120" s="47"/>
      <c r="AV120" s="48"/>
      <c r="AW120" s="53"/>
      <c r="AX120" s="47"/>
      <c r="AY120" s="47"/>
      <c r="AZ120" s="47"/>
      <c r="BA120" s="48"/>
      <c r="BB120" s="59"/>
      <c r="BC120" s="47"/>
      <c r="BD120" s="47"/>
      <c r="BE120" s="47"/>
      <c r="BF120" s="48"/>
      <c r="BG120" s="59"/>
      <c r="BH120" s="47"/>
      <c r="BI120" s="47"/>
      <c r="BJ120" s="47"/>
      <c r="BK120" s="56"/>
    </row>
    <row r="121" ht="21.0" customHeight="1">
      <c r="A121" s="17"/>
      <c r="B121" s="44"/>
      <c r="C121" s="44"/>
      <c r="D121" s="98"/>
      <c r="E121" s="48"/>
      <c r="F121" s="44"/>
      <c r="G121" s="44"/>
      <c r="H121" s="44"/>
      <c r="I121" s="100"/>
      <c r="J121" s="47"/>
      <c r="K121" s="47"/>
      <c r="L121" s="47"/>
      <c r="M121" s="48"/>
      <c r="N121" s="51"/>
      <c r="O121" s="47"/>
      <c r="P121" s="47"/>
      <c r="Q121" s="47"/>
      <c r="R121" s="48"/>
      <c r="S121" s="130"/>
      <c r="T121" s="47"/>
      <c r="U121" s="47"/>
      <c r="V121" s="47"/>
      <c r="W121" s="48"/>
      <c r="X121" s="52"/>
      <c r="Y121" s="47"/>
      <c r="Z121" s="47"/>
      <c r="AA121" s="47"/>
      <c r="AB121" s="48"/>
      <c r="AC121" s="50"/>
      <c r="AD121" s="47"/>
      <c r="AE121" s="47"/>
      <c r="AF121" s="47"/>
      <c r="AG121" s="48"/>
      <c r="AH121" s="101"/>
      <c r="AI121" s="47"/>
      <c r="AJ121" s="47"/>
      <c r="AK121" s="47"/>
      <c r="AL121" s="48"/>
      <c r="AM121" s="46"/>
      <c r="AN121" s="47"/>
      <c r="AO121" s="47"/>
      <c r="AP121" s="47"/>
      <c r="AQ121" s="48"/>
      <c r="AR121" s="99"/>
      <c r="AS121" s="47"/>
      <c r="AT121" s="47"/>
      <c r="AU121" s="47"/>
      <c r="AV121" s="48"/>
      <c r="AW121" s="53"/>
      <c r="AX121" s="47"/>
      <c r="AY121" s="47"/>
      <c r="AZ121" s="47"/>
      <c r="BA121" s="48"/>
      <c r="BB121" s="59"/>
      <c r="BC121" s="47"/>
      <c r="BD121" s="47"/>
      <c r="BE121" s="47"/>
      <c r="BF121" s="48"/>
      <c r="BG121" s="59"/>
      <c r="BH121" s="47"/>
      <c r="BI121" s="47"/>
      <c r="BJ121" s="47"/>
      <c r="BK121" s="56"/>
    </row>
    <row r="122" ht="21.0" customHeight="1">
      <c r="A122" s="17"/>
      <c r="B122" s="44"/>
      <c r="C122" s="44"/>
      <c r="D122" s="98"/>
      <c r="E122" s="48"/>
      <c r="F122" s="44"/>
      <c r="G122" s="44"/>
      <c r="H122" s="44"/>
      <c r="I122" s="100"/>
      <c r="J122" s="47"/>
      <c r="K122" s="47"/>
      <c r="L122" s="47"/>
      <c r="M122" s="48"/>
      <c r="N122" s="51"/>
      <c r="O122" s="47"/>
      <c r="P122" s="47"/>
      <c r="Q122" s="47"/>
      <c r="R122" s="48"/>
      <c r="S122" s="130"/>
      <c r="T122" s="47"/>
      <c r="U122" s="47"/>
      <c r="V122" s="47"/>
      <c r="W122" s="48"/>
      <c r="X122" s="52"/>
      <c r="Y122" s="47"/>
      <c r="Z122" s="47"/>
      <c r="AA122" s="47"/>
      <c r="AB122" s="48"/>
      <c r="AC122" s="91"/>
      <c r="AD122" s="47"/>
      <c r="AE122" s="47"/>
      <c r="AF122" s="47"/>
      <c r="AG122" s="48"/>
      <c r="AH122" s="101"/>
      <c r="AI122" s="47"/>
      <c r="AJ122" s="47"/>
      <c r="AK122" s="47"/>
      <c r="AL122" s="48"/>
      <c r="AM122" s="46"/>
      <c r="AN122" s="47"/>
      <c r="AO122" s="47"/>
      <c r="AP122" s="47"/>
      <c r="AQ122" s="48"/>
      <c r="AR122" s="99"/>
      <c r="AS122" s="47"/>
      <c r="AT122" s="47"/>
      <c r="AU122" s="47"/>
      <c r="AV122" s="48"/>
      <c r="AW122" s="53"/>
      <c r="AX122" s="47"/>
      <c r="AY122" s="47"/>
      <c r="AZ122" s="47"/>
      <c r="BA122" s="48"/>
      <c r="BB122" s="59"/>
      <c r="BC122" s="47"/>
      <c r="BD122" s="47"/>
      <c r="BE122" s="47"/>
      <c r="BF122" s="48"/>
      <c r="BG122" s="59"/>
      <c r="BH122" s="47"/>
      <c r="BI122" s="47"/>
      <c r="BJ122" s="47"/>
      <c r="BK122" s="56"/>
    </row>
    <row r="123" ht="21.0" customHeight="1">
      <c r="A123" s="17"/>
      <c r="B123" s="44"/>
      <c r="C123" s="44"/>
      <c r="D123" s="98"/>
      <c r="E123" s="48"/>
      <c r="F123" s="44"/>
      <c r="G123" s="44"/>
      <c r="H123" s="44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</row>
    <row r="124" ht="21.0" customHeight="1">
      <c r="A124" s="17"/>
      <c r="B124" s="17"/>
      <c r="C124" s="17"/>
      <c r="D124" s="17"/>
      <c r="E124" s="17"/>
      <c r="F124" s="17"/>
      <c r="G124" s="17"/>
      <c r="H124" s="114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</row>
    <row r="125" ht="21.0" customHeight="1">
      <c r="A125" s="17"/>
      <c r="B125" s="17"/>
      <c r="C125" s="17"/>
      <c r="D125" s="17"/>
      <c r="E125" s="17"/>
      <c r="F125" s="17"/>
      <c r="G125" s="17"/>
      <c r="H125" s="114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</row>
    <row r="126" ht="21.0" customHeight="1">
      <c r="A126" s="17"/>
      <c r="B126" s="17"/>
      <c r="C126" s="17"/>
      <c r="D126" s="17"/>
      <c r="E126" s="17"/>
      <c r="F126" s="17"/>
      <c r="G126" s="17"/>
      <c r="H126" s="114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</row>
  </sheetData>
  <mergeCells count="1329">
    <mergeCell ref="AR64:AV64"/>
    <mergeCell ref="AW64:BA64"/>
    <mergeCell ref="BB64:BF64"/>
    <mergeCell ref="BG64:BK64"/>
    <mergeCell ref="I64:M64"/>
    <mergeCell ref="N64:R64"/>
    <mergeCell ref="S64:W64"/>
    <mergeCell ref="X64:AB64"/>
    <mergeCell ref="AC64:AG64"/>
    <mergeCell ref="AH64:AL64"/>
    <mergeCell ref="AM64:AQ64"/>
    <mergeCell ref="AR65:AV65"/>
    <mergeCell ref="AW65:BA65"/>
    <mergeCell ref="BB65:BF65"/>
    <mergeCell ref="BG65:BK65"/>
    <mergeCell ref="I65:M65"/>
    <mergeCell ref="N65:R65"/>
    <mergeCell ref="S65:W65"/>
    <mergeCell ref="X65:AB65"/>
    <mergeCell ref="AC65:AG65"/>
    <mergeCell ref="AH65:AL65"/>
    <mergeCell ref="AM65:AQ65"/>
    <mergeCell ref="AR66:AV66"/>
    <mergeCell ref="AW66:BA66"/>
    <mergeCell ref="BB66:BF66"/>
    <mergeCell ref="BG66:BK66"/>
    <mergeCell ref="I66:M66"/>
    <mergeCell ref="N66:R66"/>
    <mergeCell ref="S66:W66"/>
    <mergeCell ref="X66:AB66"/>
    <mergeCell ref="AC66:AG66"/>
    <mergeCell ref="AH66:AL66"/>
    <mergeCell ref="AM66:AQ66"/>
    <mergeCell ref="AR67:AV67"/>
    <mergeCell ref="AW67:BA67"/>
    <mergeCell ref="BB67:BF67"/>
    <mergeCell ref="BG67:BK67"/>
    <mergeCell ref="I67:M67"/>
    <mergeCell ref="N67:R67"/>
    <mergeCell ref="S67:W67"/>
    <mergeCell ref="X67:AB67"/>
    <mergeCell ref="AC67:AG67"/>
    <mergeCell ref="AH67:AL67"/>
    <mergeCell ref="AM67:AQ67"/>
    <mergeCell ref="AR68:AV68"/>
    <mergeCell ref="AW68:BA68"/>
    <mergeCell ref="BB68:BF68"/>
    <mergeCell ref="BG68:BK68"/>
    <mergeCell ref="I68:M68"/>
    <mergeCell ref="N68:R68"/>
    <mergeCell ref="S68:W68"/>
    <mergeCell ref="X68:AB68"/>
    <mergeCell ref="AC68:AG68"/>
    <mergeCell ref="AH68:AL68"/>
    <mergeCell ref="AM68:AQ68"/>
    <mergeCell ref="AR69:AV69"/>
    <mergeCell ref="AW69:BA69"/>
    <mergeCell ref="BB69:BF69"/>
    <mergeCell ref="BG69:BK69"/>
    <mergeCell ref="I69:M69"/>
    <mergeCell ref="N69:R69"/>
    <mergeCell ref="S69:W69"/>
    <mergeCell ref="X69:AB69"/>
    <mergeCell ref="AC69:AG69"/>
    <mergeCell ref="AH69:AL69"/>
    <mergeCell ref="AM69:AQ69"/>
    <mergeCell ref="AR70:AV70"/>
    <mergeCell ref="AW70:BA70"/>
    <mergeCell ref="BB70:BF70"/>
    <mergeCell ref="BG70:BK70"/>
    <mergeCell ref="I70:M70"/>
    <mergeCell ref="N70:R70"/>
    <mergeCell ref="S70:W70"/>
    <mergeCell ref="X70:AB70"/>
    <mergeCell ref="AC70:AG70"/>
    <mergeCell ref="AH70:AL70"/>
    <mergeCell ref="AM70:AQ70"/>
    <mergeCell ref="AR71:AV71"/>
    <mergeCell ref="AW71:BA71"/>
    <mergeCell ref="BB71:BF71"/>
    <mergeCell ref="BG71:BK71"/>
    <mergeCell ref="I71:M71"/>
    <mergeCell ref="N71:R71"/>
    <mergeCell ref="S71:W71"/>
    <mergeCell ref="X71:AB71"/>
    <mergeCell ref="AC71:AG71"/>
    <mergeCell ref="AH71:AL71"/>
    <mergeCell ref="AM71:AQ71"/>
    <mergeCell ref="AR72:AV72"/>
    <mergeCell ref="AW72:BA72"/>
    <mergeCell ref="BB72:BF72"/>
    <mergeCell ref="BG72:BK72"/>
    <mergeCell ref="I72:M72"/>
    <mergeCell ref="N72:R72"/>
    <mergeCell ref="S72:W72"/>
    <mergeCell ref="X72:AB72"/>
    <mergeCell ref="AC72:AG72"/>
    <mergeCell ref="AH72:AL72"/>
    <mergeCell ref="AM72:AQ72"/>
    <mergeCell ref="AR73:AV73"/>
    <mergeCell ref="AW73:BA73"/>
    <mergeCell ref="BB73:BF73"/>
    <mergeCell ref="BG73:BK73"/>
    <mergeCell ref="I73:M73"/>
    <mergeCell ref="N73:R73"/>
    <mergeCell ref="S73:W73"/>
    <mergeCell ref="X73:AB73"/>
    <mergeCell ref="AC73:AG73"/>
    <mergeCell ref="AH73:AL73"/>
    <mergeCell ref="AM73:AQ73"/>
    <mergeCell ref="AR74:AV74"/>
    <mergeCell ref="AW74:BA74"/>
    <mergeCell ref="BB74:BF74"/>
    <mergeCell ref="BG74:BK74"/>
    <mergeCell ref="I74:M74"/>
    <mergeCell ref="N74:R74"/>
    <mergeCell ref="S74:W74"/>
    <mergeCell ref="X74:AB74"/>
    <mergeCell ref="AC74:AG74"/>
    <mergeCell ref="AH74:AL74"/>
    <mergeCell ref="AM74:AQ74"/>
    <mergeCell ref="AR75:AV75"/>
    <mergeCell ref="AW75:BA75"/>
    <mergeCell ref="BB75:BF75"/>
    <mergeCell ref="BG75:BK75"/>
    <mergeCell ref="I75:M75"/>
    <mergeCell ref="N75:R75"/>
    <mergeCell ref="S75:W75"/>
    <mergeCell ref="X75:AB75"/>
    <mergeCell ref="AC75:AG75"/>
    <mergeCell ref="AH75:AL75"/>
    <mergeCell ref="AM75:AQ75"/>
    <mergeCell ref="AR76:AV76"/>
    <mergeCell ref="AW76:BA76"/>
    <mergeCell ref="BB76:BF76"/>
    <mergeCell ref="BG76:BK76"/>
    <mergeCell ref="I76:M76"/>
    <mergeCell ref="N76:R76"/>
    <mergeCell ref="S76:W76"/>
    <mergeCell ref="X76:AB76"/>
    <mergeCell ref="AC76:AG76"/>
    <mergeCell ref="AH76:AL76"/>
    <mergeCell ref="AM76:AQ76"/>
    <mergeCell ref="AR77:AV77"/>
    <mergeCell ref="AW77:BA77"/>
    <mergeCell ref="BB77:BF77"/>
    <mergeCell ref="BG77:BK77"/>
    <mergeCell ref="I77:M77"/>
    <mergeCell ref="N77:R77"/>
    <mergeCell ref="S77:W77"/>
    <mergeCell ref="X77:AB77"/>
    <mergeCell ref="AC77:AG77"/>
    <mergeCell ref="AH77:AL77"/>
    <mergeCell ref="AM77:AQ77"/>
    <mergeCell ref="AR78:AV78"/>
    <mergeCell ref="AW78:BA78"/>
    <mergeCell ref="BB78:BF78"/>
    <mergeCell ref="BG78:BK78"/>
    <mergeCell ref="I78:M78"/>
    <mergeCell ref="N78:R78"/>
    <mergeCell ref="S78:W78"/>
    <mergeCell ref="X78:AB78"/>
    <mergeCell ref="AC78:AG78"/>
    <mergeCell ref="AH78:AL78"/>
    <mergeCell ref="AM78:AQ78"/>
    <mergeCell ref="AR79:AV79"/>
    <mergeCell ref="AW79:BA79"/>
    <mergeCell ref="BB79:BF79"/>
    <mergeCell ref="BG79:BK79"/>
    <mergeCell ref="I79:M79"/>
    <mergeCell ref="N79:R79"/>
    <mergeCell ref="S79:W79"/>
    <mergeCell ref="X79:AB79"/>
    <mergeCell ref="AC79:AG79"/>
    <mergeCell ref="AH79:AL79"/>
    <mergeCell ref="AM79:AQ79"/>
    <mergeCell ref="AW61:BA61"/>
    <mergeCell ref="BB61:BF61"/>
    <mergeCell ref="N61:R61"/>
    <mergeCell ref="S61:W61"/>
    <mergeCell ref="X61:AB61"/>
    <mergeCell ref="AC61:AG61"/>
    <mergeCell ref="AH61:AL61"/>
    <mergeCell ref="AM61:AQ61"/>
    <mergeCell ref="AR61:AV61"/>
    <mergeCell ref="AR62:AV62"/>
    <mergeCell ref="AW62:BA62"/>
    <mergeCell ref="BB62:BF62"/>
    <mergeCell ref="BG62:BK62"/>
    <mergeCell ref="I62:M62"/>
    <mergeCell ref="N62:R62"/>
    <mergeCell ref="S62:W62"/>
    <mergeCell ref="X62:AB62"/>
    <mergeCell ref="AC62:AG62"/>
    <mergeCell ref="AH62:AL62"/>
    <mergeCell ref="AM62:AQ62"/>
    <mergeCell ref="AR63:AV63"/>
    <mergeCell ref="AW63:BA63"/>
    <mergeCell ref="BB63:BF63"/>
    <mergeCell ref="BG63:BK63"/>
    <mergeCell ref="I63:M63"/>
    <mergeCell ref="N63:R63"/>
    <mergeCell ref="S63:W63"/>
    <mergeCell ref="X63:AB63"/>
    <mergeCell ref="AC63:AG63"/>
    <mergeCell ref="AH63:AL63"/>
    <mergeCell ref="AM63:AQ63"/>
    <mergeCell ref="AR81:AV81"/>
    <mergeCell ref="AW81:BA81"/>
    <mergeCell ref="BB81:BF81"/>
    <mergeCell ref="BG81:BK81"/>
    <mergeCell ref="I81:M81"/>
    <mergeCell ref="N81:R81"/>
    <mergeCell ref="S81:W81"/>
    <mergeCell ref="X81:AB81"/>
    <mergeCell ref="AC81:AG81"/>
    <mergeCell ref="AH81:AL81"/>
    <mergeCell ref="AM81:AQ81"/>
    <mergeCell ref="AR84:AV84"/>
    <mergeCell ref="AW84:BA84"/>
    <mergeCell ref="BB84:BF84"/>
    <mergeCell ref="BG84:BK84"/>
    <mergeCell ref="I84:M84"/>
    <mergeCell ref="N84:R84"/>
    <mergeCell ref="S84:W84"/>
    <mergeCell ref="X84:AB84"/>
    <mergeCell ref="AC84:AG84"/>
    <mergeCell ref="AH84:AL84"/>
    <mergeCell ref="AM84:AQ84"/>
    <mergeCell ref="AR85:AV85"/>
    <mergeCell ref="AW85:BA85"/>
    <mergeCell ref="BB85:BF85"/>
    <mergeCell ref="BG85:BK85"/>
    <mergeCell ref="I85:M85"/>
    <mergeCell ref="N85:R85"/>
    <mergeCell ref="S85:W85"/>
    <mergeCell ref="X85:AB85"/>
    <mergeCell ref="AC85:AG85"/>
    <mergeCell ref="AH85:AL85"/>
    <mergeCell ref="AM85:AQ85"/>
    <mergeCell ref="AR86:AV86"/>
    <mergeCell ref="AW86:BA86"/>
    <mergeCell ref="BB86:BF86"/>
    <mergeCell ref="BG86:BK86"/>
    <mergeCell ref="I86:M86"/>
    <mergeCell ref="N86:R86"/>
    <mergeCell ref="S86:W86"/>
    <mergeCell ref="X86:AB86"/>
    <mergeCell ref="AC86:AG86"/>
    <mergeCell ref="AH86:AL86"/>
    <mergeCell ref="AM86:AQ86"/>
    <mergeCell ref="AR87:AV87"/>
    <mergeCell ref="AW87:BA87"/>
    <mergeCell ref="BB87:BF87"/>
    <mergeCell ref="BG87:BK87"/>
    <mergeCell ref="I87:M87"/>
    <mergeCell ref="N87:R87"/>
    <mergeCell ref="S87:W87"/>
    <mergeCell ref="X87:AB87"/>
    <mergeCell ref="AC87:AG87"/>
    <mergeCell ref="AH87:AL87"/>
    <mergeCell ref="AM87:AQ87"/>
    <mergeCell ref="AR88:AV88"/>
    <mergeCell ref="AW88:BA88"/>
    <mergeCell ref="BB88:BF88"/>
    <mergeCell ref="BG88:BK88"/>
    <mergeCell ref="I88:M88"/>
    <mergeCell ref="N88:R88"/>
    <mergeCell ref="S88:W88"/>
    <mergeCell ref="X88:AB88"/>
    <mergeCell ref="AC88:AG88"/>
    <mergeCell ref="AH88:AL88"/>
    <mergeCell ref="AM88:AQ88"/>
    <mergeCell ref="AR89:AV89"/>
    <mergeCell ref="AW89:BA89"/>
    <mergeCell ref="BB89:BF89"/>
    <mergeCell ref="BG89:BK89"/>
    <mergeCell ref="I89:M89"/>
    <mergeCell ref="N89:R89"/>
    <mergeCell ref="S89:W89"/>
    <mergeCell ref="X89:AB89"/>
    <mergeCell ref="AC89:AG89"/>
    <mergeCell ref="AH89:AL89"/>
    <mergeCell ref="AM89:AQ89"/>
    <mergeCell ref="AR90:AV90"/>
    <mergeCell ref="AW90:BA90"/>
    <mergeCell ref="BB90:BF90"/>
    <mergeCell ref="BG90:BK90"/>
    <mergeCell ref="I90:M90"/>
    <mergeCell ref="N90:R90"/>
    <mergeCell ref="S90:W90"/>
    <mergeCell ref="X90:AB90"/>
    <mergeCell ref="AC90:AG90"/>
    <mergeCell ref="AH90:AL90"/>
    <mergeCell ref="AM90:AQ90"/>
    <mergeCell ref="AR91:AV91"/>
    <mergeCell ref="AW91:BA91"/>
    <mergeCell ref="BB91:BF91"/>
    <mergeCell ref="BG91:BK91"/>
    <mergeCell ref="I91:M91"/>
    <mergeCell ref="N91:R91"/>
    <mergeCell ref="S91:W91"/>
    <mergeCell ref="X91:AB91"/>
    <mergeCell ref="AC91:AG91"/>
    <mergeCell ref="AH91:AL91"/>
    <mergeCell ref="AM91:AQ91"/>
    <mergeCell ref="AR92:AV92"/>
    <mergeCell ref="AW92:BA92"/>
    <mergeCell ref="BB92:BF92"/>
    <mergeCell ref="BG92:BK92"/>
    <mergeCell ref="I92:M92"/>
    <mergeCell ref="N92:R92"/>
    <mergeCell ref="S92:W92"/>
    <mergeCell ref="X92:AB92"/>
    <mergeCell ref="AC92:AG92"/>
    <mergeCell ref="AH92:AL92"/>
    <mergeCell ref="AM92:AQ92"/>
    <mergeCell ref="AR93:AV93"/>
    <mergeCell ref="AW93:BA93"/>
    <mergeCell ref="BB93:BF93"/>
    <mergeCell ref="BG93:BK93"/>
    <mergeCell ref="I93:M93"/>
    <mergeCell ref="N93:R93"/>
    <mergeCell ref="S93:W93"/>
    <mergeCell ref="X93:AB93"/>
    <mergeCell ref="AC93:AG93"/>
    <mergeCell ref="AH93:AL93"/>
    <mergeCell ref="AM93:AQ93"/>
    <mergeCell ref="AR94:AV94"/>
    <mergeCell ref="AW94:BA94"/>
    <mergeCell ref="BB94:BF94"/>
    <mergeCell ref="BG94:BK94"/>
    <mergeCell ref="I94:M94"/>
    <mergeCell ref="N94:R94"/>
    <mergeCell ref="S94:W94"/>
    <mergeCell ref="X94:AB94"/>
    <mergeCell ref="AC94:AG94"/>
    <mergeCell ref="AH94:AL94"/>
    <mergeCell ref="AM94:AQ94"/>
    <mergeCell ref="AR95:AV95"/>
    <mergeCell ref="AW95:BA95"/>
    <mergeCell ref="BB95:BF95"/>
    <mergeCell ref="BG95:BK95"/>
    <mergeCell ref="I95:M95"/>
    <mergeCell ref="N95:R95"/>
    <mergeCell ref="S95:W95"/>
    <mergeCell ref="X95:AB95"/>
    <mergeCell ref="AC95:AG95"/>
    <mergeCell ref="AH95:AL95"/>
    <mergeCell ref="AM95:AQ95"/>
    <mergeCell ref="AR96:AV96"/>
    <mergeCell ref="AW96:BA96"/>
    <mergeCell ref="BB96:BF96"/>
    <mergeCell ref="BG96:BK96"/>
    <mergeCell ref="I96:M96"/>
    <mergeCell ref="N96:R96"/>
    <mergeCell ref="S96:W96"/>
    <mergeCell ref="X96:AB96"/>
    <mergeCell ref="AC96:AG96"/>
    <mergeCell ref="AH96:AL96"/>
    <mergeCell ref="AM96:AQ96"/>
    <mergeCell ref="AR97:AV97"/>
    <mergeCell ref="AW97:BA97"/>
    <mergeCell ref="BB97:BF97"/>
    <mergeCell ref="BG97:BK97"/>
    <mergeCell ref="I97:M97"/>
    <mergeCell ref="N97:R97"/>
    <mergeCell ref="S97:W97"/>
    <mergeCell ref="X97:AB97"/>
    <mergeCell ref="AC97:AG97"/>
    <mergeCell ref="AH97:AL97"/>
    <mergeCell ref="AM97:AQ97"/>
    <mergeCell ref="AR98:AV98"/>
    <mergeCell ref="AW98:BA98"/>
    <mergeCell ref="BB98:BF98"/>
    <mergeCell ref="BG98:BK98"/>
    <mergeCell ref="I98:M98"/>
    <mergeCell ref="N98:R98"/>
    <mergeCell ref="S98:W98"/>
    <mergeCell ref="X98:AB98"/>
    <mergeCell ref="AC98:AG98"/>
    <mergeCell ref="AH98:AL98"/>
    <mergeCell ref="AM98:AQ98"/>
    <mergeCell ref="AR99:AV99"/>
    <mergeCell ref="AW99:BA99"/>
    <mergeCell ref="BB99:BF99"/>
    <mergeCell ref="BG99:BK99"/>
    <mergeCell ref="I99:M99"/>
    <mergeCell ref="N99:R99"/>
    <mergeCell ref="S99:W99"/>
    <mergeCell ref="X99:AB99"/>
    <mergeCell ref="AC99:AG99"/>
    <mergeCell ref="AH99:AL99"/>
    <mergeCell ref="AM99:AQ99"/>
    <mergeCell ref="AR100:AV100"/>
    <mergeCell ref="AW100:BA100"/>
    <mergeCell ref="BB100:BF100"/>
    <mergeCell ref="BG100:BK100"/>
    <mergeCell ref="I100:M100"/>
    <mergeCell ref="N100:R100"/>
    <mergeCell ref="S100:W100"/>
    <mergeCell ref="X100:AB100"/>
    <mergeCell ref="AC100:AG100"/>
    <mergeCell ref="AH100:AL100"/>
    <mergeCell ref="AM100:AQ100"/>
    <mergeCell ref="AR101:AV101"/>
    <mergeCell ref="AW101:BA101"/>
    <mergeCell ref="BB101:BF101"/>
    <mergeCell ref="BG101:BK101"/>
    <mergeCell ref="I101:M101"/>
    <mergeCell ref="N101:R101"/>
    <mergeCell ref="S101:W101"/>
    <mergeCell ref="X101:AB101"/>
    <mergeCell ref="AC101:AG101"/>
    <mergeCell ref="AH101:AL101"/>
    <mergeCell ref="AM101:AQ101"/>
    <mergeCell ref="AH106:AL106"/>
    <mergeCell ref="AM106:AQ106"/>
    <mergeCell ref="AR106:AV106"/>
    <mergeCell ref="AW106:BA106"/>
    <mergeCell ref="BB106:BF106"/>
    <mergeCell ref="BG106:BK106"/>
    <mergeCell ref="D105:E105"/>
    <mergeCell ref="N105:R105"/>
    <mergeCell ref="S105:W105"/>
    <mergeCell ref="X105:AB105"/>
    <mergeCell ref="AC105:AG105"/>
    <mergeCell ref="AH105:AL105"/>
    <mergeCell ref="D106:E106"/>
    <mergeCell ref="AW107:BA107"/>
    <mergeCell ref="BB107:BF107"/>
    <mergeCell ref="BG107:BK107"/>
    <mergeCell ref="BG109:BK109"/>
    <mergeCell ref="AW110:BA110"/>
    <mergeCell ref="BB110:BF110"/>
    <mergeCell ref="BG110:BK110"/>
    <mergeCell ref="X106:AB106"/>
    <mergeCell ref="AC106:AG106"/>
    <mergeCell ref="X107:AB107"/>
    <mergeCell ref="AC107:AG107"/>
    <mergeCell ref="AH107:AL107"/>
    <mergeCell ref="AM107:AQ107"/>
    <mergeCell ref="AR107:AV107"/>
    <mergeCell ref="AC108:AG108"/>
    <mergeCell ref="AH108:AL108"/>
    <mergeCell ref="AM108:AQ108"/>
    <mergeCell ref="AR108:AV108"/>
    <mergeCell ref="AW108:BA108"/>
    <mergeCell ref="BB108:BF108"/>
    <mergeCell ref="BG108:BK108"/>
    <mergeCell ref="N106:R106"/>
    <mergeCell ref="S106:W106"/>
    <mergeCell ref="N107:R107"/>
    <mergeCell ref="S107:W107"/>
    <mergeCell ref="N108:R108"/>
    <mergeCell ref="S108:W108"/>
    <mergeCell ref="X108:AB108"/>
    <mergeCell ref="I105:M105"/>
    <mergeCell ref="I106:M106"/>
    <mergeCell ref="D107:E107"/>
    <mergeCell ref="I107:M107"/>
    <mergeCell ref="D108:E108"/>
    <mergeCell ref="I108:M108"/>
    <mergeCell ref="I109:M109"/>
    <mergeCell ref="I110:M110"/>
    <mergeCell ref="AM110:AQ110"/>
    <mergeCell ref="AR110:AV110"/>
    <mergeCell ref="D109:E109"/>
    <mergeCell ref="D110:E110"/>
    <mergeCell ref="N110:R110"/>
    <mergeCell ref="S110:W110"/>
    <mergeCell ref="X110:AB110"/>
    <mergeCell ref="AC110:AG110"/>
    <mergeCell ref="AH110:AL110"/>
    <mergeCell ref="AM111:AQ111"/>
    <mergeCell ref="AR111:AV111"/>
    <mergeCell ref="AW111:BA111"/>
    <mergeCell ref="BB111:BF111"/>
    <mergeCell ref="BG111:BK111"/>
    <mergeCell ref="I111:M111"/>
    <mergeCell ref="I112:M112"/>
    <mergeCell ref="D113:E113"/>
    <mergeCell ref="I113:M113"/>
    <mergeCell ref="D114:E114"/>
    <mergeCell ref="I114:M114"/>
    <mergeCell ref="D115:E115"/>
    <mergeCell ref="I115:M115"/>
    <mergeCell ref="D111:E111"/>
    <mergeCell ref="N111:R111"/>
    <mergeCell ref="S111:W111"/>
    <mergeCell ref="X111:AB111"/>
    <mergeCell ref="AC111:AG111"/>
    <mergeCell ref="AH111:AL111"/>
    <mergeCell ref="D112:E112"/>
    <mergeCell ref="AW113:BA113"/>
    <mergeCell ref="BB113:BF113"/>
    <mergeCell ref="X115:AB115"/>
    <mergeCell ref="AC115:AG115"/>
    <mergeCell ref="AH115:AL115"/>
    <mergeCell ref="AM115:AQ115"/>
    <mergeCell ref="AR115:AV115"/>
    <mergeCell ref="AW115:BA115"/>
    <mergeCell ref="BB115:BF115"/>
    <mergeCell ref="BG115:BK115"/>
    <mergeCell ref="AC114:AG114"/>
    <mergeCell ref="AH114:AL114"/>
    <mergeCell ref="AM114:AQ114"/>
    <mergeCell ref="AR114:AV114"/>
    <mergeCell ref="AW114:BA114"/>
    <mergeCell ref="BB114:BF114"/>
    <mergeCell ref="BG114:BK114"/>
    <mergeCell ref="AR102:AV102"/>
    <mergeCell ref="AW102:BA102"/>
    <mergeCell ref="BB102:BF102"/>
    <mergeCell ref="BG102:BK102"/>
    <mergeCell ref="I102:M102"/>
    <mergeCell ref="N102:R102"/>
    <mergeCell ref="S102:W102"/>
    <mergeCell ref="X102:AB102"/>
    <mergeCell ref="AC102:AG102"/>
    <mergeCell ref="AH102:AL102"/>
    <mergeCell ref="AM102:AQ102"/>
    <mergeCell ref="AR103:AV103"/>
    <mergeCell ref="AW103:BA103"/>
    <mergeCell ref="BB103:BF103"/>
    <mergeCell ref="BG103:BK103"/>
    <mergeCell ref="I103:M103"/>
    <mergeCell ref="N103:R103"/>
    <mergeCell ref="S103:W103"/>
    <mergeCell ref="X103:AB103"/>
    <mergeCell ref="AC103:AG103"/>
    <mergeCell ref="AH103:AL103"/>
    <mergeCell ref="AM103:AQ103"/>
    <mergeCell ref="AW104:BA104"/>
    <mergeCell ref="BB104:BF104"/>
    <mergeCell ref="BG104:BK104"/>
    <mergeCell ref="N104:R104"/>
    <mergeCell ref="S104:W104"/>
    <mergeCell ref="X104:AB104"/>
    <mergeCell ref="AC104:AG104"/>
    <mergeCell ref="AH104:AL104"/>
    <mergeCell ref="AM104:AQ104"/>
    <mergeCell ref="AR104:AV104"/>
    <mergeCell ref="AR80:AV80"/>
    <mergeCell ref="AW80:BA80"/>
    <mergeCell ref="BB80:BF80"/>
    <mergeCell ref="BG80:BK80"/>
    <mergeCell ref="I80:M80"/>
    <mergeCell ref="N80:R80"/>
    <mergeCell ref="S80:W80"/>
    <mergeCell ref="X80:AB80"/>
    <mergeCell ref="AC80:AG80"/>
    <mergeCell ref="AH80:AL80"/>
    <mergeCell ref="AM80:AQ80"/>
    <mergeCell ref="AM82:AQ82"/>
    <mergeCell ref="AR82:AV82"/>
    <mergeCell ref="AW82:BA82"/>
    <mergeCell ref="BB82:BF82"/>
    <mergeCell ref="BG82:BK82"/>
    <mergeCell ref="D82:E82"/>
    <mergeCell ref="I82:M82"/>
    <mergeCell ref="N82:R82"/>
    <mergeCell ref="S82:W82"/>
    <mergeCell ref="X82:AB82"/>
    <mergeCell ref="AC82:AG82"/>
    <mergeCell ref="AH82:AL82"/>
    <mergeCell ref="AR83:AV83"/>
    <mergeCell ref="AW83:BA83"/>
    <mergeCell ref="BB83:BF83"/>
    <mergeCell ref="BG83:BK83"/>
    <mergeCell ref="I83:M83"/>
    <mergeCell ref="N83:R83"/>
    <mergeCell ref="S83:W83"/>
    <mergeCell ref="X83:AB83"/>
    <mergeCell ref="AC83:AG83"/>
    <mergeCell ref="AH83:AL83"/>
    <mergeCell ref="AM83:AQ83"/>
    <mergeCell ref="AM105:AQ105"/>
    <mergeCell ref="AR105:AV105"/>
    <mergeCell ref="AW105:BA105"/>
    <mergeCell ref="BB105:BF105"/>
    <mergeCell ref="BG105:BK105"/>
    <mergeCell ref="AW109:BA109"/>
    <mergeCell ref="BB109:BF109"/>
    <mergeCell ref="N109:R109"/>
    <mergeCell ref="S109:W109"/>
    <mergeCell ref="X109:AB109"/>
    <mergeCell ref="AC109:AG109"/>
    <mergeCell ref="AH109:AL109"/>
    <mergeCell ref="AM109:AQ109"/>
    <mergeCell ref="AR109:AV109"/>
    <mergeCell ref="AH112:AL112"/>
    <mergeCell ref="AM112:AQ112"/>
    <mergeCell ref="AR112:AV112"/>
    <mergeCell ref="AW112:BA112"/>
    <mergeCell ref="BB112:BF112"/>
    <mergeCell ref="BG112:BK112"/>
    <mergeCell ref="X112:AB112"/>
    <mergeCell ref="AC112:AG112"/>
    <mergeCell ref="X113:AB113"/>
    <mergeCell ref="AC113:AG113"/>
    <mergeCell ref="AH113:AL113"/>
    <mergeCell ref="AM113:AQ113"/>
    <mergeCell ref="AR113:AV113"/>
    <mergeCell ref="BG113:BK113"/>
    <mergeCell ref="N115:R115"/>
    <mergeCell ref="S115:W115"/>
    <mergeCell ref="D116:E116"/>
    <mergeCell ref="N116:R116"/>
    <mergeCell ref="S116:W116"/>
    <mergeCell ref="X116:AB116"/>
    <mergeCell ref="D117:E117"/>
    <mergeCell ref="X117:AB117"/>
    <mergeCell ref="I116:M116"/>
    <mergeCell ref="I117:M117"/>
    <mergeCell ref="D118:E118"/>
    <mergeCell ref="N118:R118"/>
    <mergeCell ref="S118:W118"/>
    <mergeCell ref="X118:AB118"/>
    <mergeCell ref="X119:AB119"/>
    <mergeCell ref="AH120:AL120"/>
    <mergeCell ref="AM120:AQ120"/>
    <mergeCell ref="AR120:AV120"/>
    <mergeCell ref="AW120:BA120"/>
    <mergeCell ref="BB120:BF120"/>
    <mergeCell ref="BG120:BK120"/>
    <mergeCell ref="I120:M120"/>
    <mergeCell ref="I121:M121"/>
    <mergeCell ref="D122:E122"/>
    <mergeCell ref="I122:M122"/>
    <mergeCell ref="D123:E123"/>
    <mergeCell ref="X121:AB121"/>
    <mergeCell ref="AC121:AG121"/>
    <mergeCell ref="AH121:AL121"/>
    <mergeCell ref="AM121:AQ121"/>
    <mergeCell ref="AR121:AV121"/>
    <mergeCell ref="AW121:BA121"/>
    <mergeCell ref="BB121:BF121"/>
    <mergeCell ref="BG121:BK121"/>
    <mergeCell ref="D119:E119"/>
    <mergeCell ref="D120:E120"/>
    <mergeCell ref="N120:R120"/>
    <mergeCell ref="S120:W120"/>
    <mergeCell ref="X120:AB120"/>
    <mergeCell ref="AC120:AG120"/>
    <mergeCell ref="D121:E121"/>
    <mergeCell ref="AM122:AQ122"/>
    <mergeCell ref="AR122:AV122"/>
    <mergeCell ref="AW122:BA122"/>
    <mergeCell ref="BB122:BF122"/>
    <mergeCell ref="BG122:BK122"/>
    <mergeCell ref="N121:R121"/>
    <mergeCell ref="S121:W121"/>
    <mergeCell ref="N122:R122"/>
    <mergeCell ref="S122:W122"/>
    <mergeCell ref="X122:AB122"/>
    <mergeCell ref="AC122:AG122"/>
    <mergeCell ref="AH122:AL122"/>
    <mergeCell ref="N112:R112"/>
    <mergeCell ref="S112:W112"/>
    <mergeCell ref="N113:R113"/>
    <mergeCell ref="S113:W113"/>
    <mergeCell ref="N114:R114"/>
    <mergeCell ref="S114:W114"/>
    <mergeCell ref="X114:AB114"/>
    <mergeCell ref="AC116:AG116"/>
    <mergeCell ref="AH116:AL116"/>
    <mergeCell ref="AM116:AQ116"/>
    <mergeCell ref="AR116:AV116"/>
    <mergeCell ref="AW116:BA116"/>
    <mergeCell ref="BB116:BF116"/>
    <mergeCell ref="BG116:BK116"/>
    <mergeCell ref="BB117:BF117"/>
    <mergeCell ref="BG117:BK117"/>
    <mergeCell ref="N117:R117"/>
    <mergeCell ref="S117:W117"/>
    <mergeCell ref="AC117:AG117"/>
    <mergeCell ref="AH117:AL117"/>
    <mergeCell ref="AM117:AQ117"/>
    <mergeCell ref="AR117:AV117"/>
    <mergeCell ref="AW117:BA117"/>
    <mergeCell ref="AC118:AG118"/>
    <mergeCell ref="AH118:AL118"/>
    <mergeCell ref="AM118:AQ118"/>
    <mergeCell ref="AR118:AV118"/>
    <mergeCell ref="AW118:BA118"/>
    <mergeCell ref="BB118:BF118"/>
    <mergeCell ref="BG118:BK118"/>
    <mergeCell ref="I118:M118"/>
    <mergeCell ref="I119:M119"/>
    <mergeCell ref="BB119:BF119"/>
    <mergeCell ref="BG119:BK119"/>
    <mergeCell ref="N119:R119"/>
    <mergeCell ref="S119:W119"/>
    <mergeCell ref="AC119:AG119"/>
    <mergeCell ref="AH119:AL119"/>
    <mergeCell ref="AM119:AQ119"/>
    <mergeCell ref="AR119:AV119"/>
    <mergeCell ref="AW119:BA119"/>
    <mergeCell ref="AM4:AV4"/>
    <mergeCell ref="AW4:BK4"/>
    <mergeCell ref="AC5:AG5"/>
    <mergeCell ref="AH5:AL5"/>
    <mergeCell ref="AM5:AQ5"/>
    <mergeCell ref="AR5:AV5"/>
    <mergeCell ref="AW5:BA5"/>
    <mergeCell ref="BB5:BF5"/>
    <mergeCell ref="BG5:BK5"/>
    <mergeCell ref="I2:N2"/>
    <mergeCell ref="O2:W2"/>
    <mergeCell ref="B4:C5"/>
    <mergeCell ref="E4:H5"/>
    <mergeCell ref="I4:R4"/>
    <mergeCell ref="S4:AB4"/>
    <mergeCell ref="AC4:AL4"/>
    <mergeCell ref="AR6:AV6"/>
    <mergeCell ref="AW6:BA6"/>
    <mergeCell ref="BB6:BF6"/>
    <mergeCell ref="BG6:BK6"/>
    <mergeCell ref="S5:W5"/>
    <mergeCell ref="X5:AB5"/>
    <mergeCell ref="S6:W6"/>
    <mergeCell ref="X6:AB6"/>
    <mergeCell ref="AC6:AG6"/>
    <mergeCell ref="AH6:AL6"/>
    <mergeCell ref="AM6:AQ6"/>
    <mergeCell ref="BB7:BF7"/>
    <mergeCell ref="BG7:BK7"/>
    <mergeCell ref="S7:W7"/>
    <mergeCell ref="X7:AB7"/>
    <mergeCell ref="AC7:AG7"/>
    <mergeCell ref="AH7:AL7"/>
    <mergeCell ref="AM7:AQ7"/>
    <mergeCell ref="AR7:AV7"/>
    <mergeCell ref="AW7:BA7"/>
    <mergeCell ref="AR8:AV8"/>
    <mergeCell ref="AW8:BA8"/>
    <mergeCell ref="BB8:BF8"/>
    <mergeCell ref="BG8:BK8"/>
    <mergeCell ref="I8:M8"/>
    <mergeCell ref="N8:R8"/>
    <mergeCell ref="S8:W8"/>
    <mergeCell ref="X8:AB8"/>
    <mergeCell ref="AC8:AG8"/>
    <mergeCell ref="AH8:AL8"/>
    <mergeCell ref="AM8:AQ8"/>
    <mergeCell ref="I5:M5"/>
    <mergeCell ref="N5:R5"/>
    <mergeCell ref="D6:E6"/>
    <mergeCell ref="I6:M6"/>
    <mergeCell ref="N6:R6"/>
    <mergeCell ref="I7:M7"/>
    <mergeCell ref="N7:R7"/>
    <mergeCell ref="AR9:AV9"/>
    <mergeCell ref="AW9:BA9"/>
    <mergeCell ref="BB9:BF9"/>
    <mergeCell ref="BG9:BK9"/>
    <mergeCell ref="I9:M9"/>
    <mergeCell ref="N9:R9"/>
    <mergeCell ref="S9:W9"/>
    <mergeCell ref="X9:AB9"/>
    <mergeCell ref="AC9:AG9"/>
    <mergeCell ref="AH9:AL9"/>
    <mergeCell ref="AM9:AQ9"/>
    <mergeCell ref="AR10:AV10"/>
    <mergeCell ref="AW10:BA10"/>
    <mergeCell ref="BB10:BF10"/>
    <mergeCell ref="BG10:BK10"/>
    <mergeCell ref="I10:M10"/>
    <mergeCell ref="N10:R10"/>
    <mergeCell ref="S10:W10"/>
    <mergeCell ref="X10:AB10"/>
    <mergeCell ref="AC10:AG10"/>
    <mergeCell ref="AH10:AL10"/>
    <mergeCell ref="AM10:AQ10"/>
    <mergeCell ref="AR14:AV14"/>
    <mergeCell ref="AW14:BA14"/>
    <mergeCell ref="BB14:BF14"/>
    <mergeCell ref="BG14:BK14"/>
    <mergeCell ref="I14:M14"/>
    <mergeCell ref="N14:R14"/>
    <mergeCell ref="S14:W14"/>
    <mergeCell ref="X14:AB14"/>
    <mergeCell ref="AC14:AG14"/>
    <mergeCell ref="AH14:AL14"/>
    <mergeCell ref="AM14:AQ14"/>
    <mergeCell ref="AR15:AV15"/>
    <mergeCell ref="AW15:BA15"/>
    <mergeCell ref="BB15:BF15"/>
    <mergeCell ref="BG15:BK15"/>
    <mergeCell ref="I15:M15"/>
    <mergeCell ref="N15:R15"/>
    <mergeCell ref="S15:W15"/>
    <mergeCell ref="X15:AB15"/>
    <mergeCell ref="AC15:AG15"/>
    <mergeCell ref="AH15:AL15"/>
    <mergeCell ref="AM15:AQ15"/>
    <mergeCell ref="AR16:AV16"/>
    <mergeCell ref="AW16:BA16"/>
    <mergeCell ref="BB16:BF16"/>
    <mergeCell ref="BG16:BK16"/>
    <mergeCell ref="I16:M16"/>
    <mergeCell ref="N16:R16"/>
    <mergeCell ref="S16:W16"/>
    <mergeCell ref="X16:AB16"/>
    <mergeCell ref="AC16:AG16"/>
    <mergeCell ref="AH16:AL16"/>
    <mergeCell ref="AM16:AQ16"/>
    <mergeCell ref="AR17:AV17"/>
    <mergeCell ref="AW17:BA17"/>
    <mergeCell ref="BB17:BF17"/>
    <mergeCell ref="BG17:BK17"/>
    <mergeCell ref="I17:M17"/>
    <mergeCell ref="N17:R17"/>
    <mergeCell ref="S17:W17"/>
    <mergeCell ref="X17:AB17"/>
    <mergeCell ref="AC17:AG17"/>
    <mergeCell ref="AH17:AL17"/>
    <mergeCell ref="AM17:AQ17"/>
    <mergeCell ref="AR18:AV18"/>
    <mergeCell ref="AW18:BA18"/>
    <mergeCell ref="BB18:BF18"/>
    <mergeCell ref="BG18:BK18"/>
    <mergeCell ref="I18:M18"/>
    <mergeCell ref="N18:R18"/>
    <mergeCell ref="S18:W18"/>
    <mergeCell ref="X18:AB18"/>
    <mergeCell ref="AC18:AG18"/>
    <mergeCell ref="AH18:AL18"/>
    <mergeCell ref="AM18:AQ18"/>
    <mergeCell ref="AR19:AV19"/>
    <mergeCell ref="AW19:BA19"/>
    <mergeCell ref="BB19:BF19"/>
    <mergeCell ref="BG19:BK19"/>
    <mergeCell ref="I19:M19"/>
    <mergeCell ref="N19:R19"/>
    <mergeCell ref="S19:W19"/>
    <mergeCell ref="X19:AB19"/>
    <mergeCell ref="AC19:AG19"/>
    <mergeCell ref="AH19:AL19"/>
    <mergeCell ref="AM19:AQ19"/>
    <mergeCell ref="AR20:AV20"/>
    <mergeCell ref="AW20:BA20"/>
    <mergeCell ref="BB20:BF20"/>
    <mergeCell ref="BG20:BK20"/>
    <mergeCell ref="I20:M20"/>
    <mergeCell ref="N20:R20"/>
    <mergeCell ref="S20:W20"/>
    <mergeCell ref="X20:AB20"/>
    <mergeCell ref="AC20:AG20"/>
    <mergeCell ref="AH20:AL20"/>
    <mergeCell ref="AM20:AQ20"/>
    <mergeCell ref="AR21:AV21"/>
    <mergeCell ref="AW21:BA21"/>
    <mergeCell ref="BB21:BF21"/>
    <mergeCell ref="BG21:BK21"/>
    <mergeCell ref="I21:M21"/>
    <mergeCell ref="N21:R21"/>
    <mergeCell ref="S21:W21"/>
    <mergeCell ref="X21:AB21"/>
    <mergeCell ref="AC21:AG21"/>
    <mergeCell ref="AH21:AL21"/>
    <mergeCell ref="AM21:AQ21"/>
    <mergeCell ref="AR22:AV22"/>
    <mergeCell ref="AW22:BA22"/>
    <mergeCell ref="BB22:BF22"/>
    <mergeCell ref="BG22:BK22"/>
    <mergeCell ref="I22:M22"/>
    <mergeCell ref="N22:R22"/>
    <mergeCell ref="S22:W22"/>
    <mergeCell ref="X22:AB22"/>
    <mergeCell ref="AC22:AG22"/>
    <mergeCell ref="AH22:AL22"/>
    <mergeCell ref="AM22:AQ22"/>
    <mergeCell ref="AR23:AV23"/>
    <mergeCell ref="AW23:BA23"/>
    <mergeCell ref="BB23:BF23"/>
    <mergeCell ref="BG23:BK23"/>
    <mergeCell ref="I23:M23"/>
    <mergeCell ref="N23:R23"/>
    <mergeCell ref="S23:W23"/>
    <mergeCell ref="X23:AB23"/>
    <mergeCell ref="AC23:AG23"/>
    <mergeCell ref="AH23:AL23"/>
    <mergeCell ref="AM23:AQ23"/>
    <mergeCell ref="AR24:AV24"/>
    <mergeCell ref="AW24:BA24"/>
    <mergeCell ref="BB24:BF24"/>
    <mergeCell ref="BG24:BK24"/>
    <mergeCell ref="I24:M24"/>
    <mergeCell ref="N24:R24"/>
    <mergeCell ref="S24:W24"/>
    <mergeCell ref="X24:AB24"/>
    <mergeCell ref="AC24:AG24"/>
    <mergeCell ref="AH24:AL24"/>
    <mergeCell ref="AM24:AQ24"/>
    <mergeCell ref="AR25:AV25"/>
    <mergeCell ref="AW25:BA25"/>
    <mergeCell ref="BB25:BF25"/>
    <mergeCell ref="BG25:BK25"/>
    <mergeCell ref="I25:M25"/>
    <mergeCell ref="N25:R25"/>
    <mergeCell ref="S25:W25"/>
    <mergeCell ref="X25:AB25"/>
    <mergeCell ref="AC25:AG25"/>
    <mergeCell ref="AH25:AL25"/>
    <mergeCell ref="AM25:AQ25"/>
    <mergeCell ref="AR26:AV26"/>
    <mergeCell ref="AW26:BA26"/>
    <mergeCell ref="BB26:BF26"/>
    <mergeCell ref="BG26:BK26"/>
    <mergeCell ref="I26:M26"/>
    <mergeCell ref="N26:R26"/>
    <mergeCell ref="S26:W26"/>
    <mergeCell ref="X26:AB26"/>
    <mergeCell ref="AC26:AG26"/>
    <mergeCell ref="AH26:AL26"/>
    <mergeCell ref="AM26:AQ26"/>
    <mergeCell ref="AR27:AV27"/>
    <mergeCell ref="AW27:BA27"/>
    <mergeCell ref="BB27:BF27"/>
    <mergeCell ref="BG27:BK27"/>
    <mergeCell ref="I27:M27"/>
    <mergeCell ref="N27:R27"/>
    <mergeCell ref="S27:W27"/>
    <mergeCell ref="X27:AB27"/>
    <mergeCell ref="AC27:AG27"/>
    <mergeCell ref="AH27:AL27"/>
    <mergeCell ref="AM27:AQ27"/>
    <mergeCell ref="AR28:AV28"/>
    <mergeCell ref="AW28:BA28"/>
    <mergeCell ref="BB28:BF28"/>
    <mergeCell ref="BG28:BK28"/>
    <mergeCell ref="I28:M28"/>
    <mergeCell ref="N28:R28"/>
    <mergeCell ref="S28:W28"/>
    <mergeCell ref="X28:AB28"/>
    <mergeCell ref="AC28:AG28"/>
    <mergeCell ref="AH28:AL28"/>
    <mergeCell ref="AM28:AQ28"/>
    <mergeCell ref="AR29:AV29"/>
    <mergeCell ref="AW29:BA29"/>
    <mergeCell ref="BB29:BF29"/>
    <mergeCell ref="BG29:BK29"/>
    <mergeCell ref="I29:M29"/>
    <mergeCell ref="N29:R29"/>
    <mergeCell ref="S29:W29"/>
    <mergeCell ref="X29:AB29"/>
    <mergeCell ref="AC29:AG29"/>
    <mergeCell ref="AH29:AL29"/>
    <mergeCell ref="AM29:AQ29"/>
    <mergeCell ref="AR11:AV11"/>
    <mergeCell ref="AW11:BA11"/>
    <mergeCell ref="BB11:BF11"/>
    <mergeCell ref="BG11:BK11"/>
    <mergeCell ref="I11:M11"/>
    <mergeCell ref="N11:R11"/>
    <mergeCell ref="S11:W11"/>
    <mergeCell ref="X11:AB11"/>
    <mergeCell ref="AC11:AG11"/>
    <mergeCell ref="AH11:AL11"/>
    <mergeCell ref="AM11:AQ11"/>
    <mergeCell ref="AR12:AV12"/>
    <mergeCell ref="AW12:BA12"/>
    <mergeCell ref="BB12:BF12"/>
    <mergeCell ref="BG12:BK12"/>
    <mergeCell ref="I12:M12"/>
    <mergeCell ref="N12:R12"/>
    <mergeCell ref="S12:W12"/>
    <mergeCell ref="X12:AB12"/>
    <mergeCell ref="AC12:AG12"/>
    <mergeCell ref="AH12:AL12"/>
    <mergeCell ref="AM12:AQ12"/>
    <mergeCell ref="AR13:AV13"/>
    <mergeCell ref="AW13:BA13"/>
    <mergeCell ref="BB13:BF13"/>
    <mergeCell ref="BG13:BK13"/>
    <mergeCell ref="I13:M13"/>
    <mergeCell ref="N13:R13"/>
    <mergeCell ref="S13:W13"/>
    <mergeCell ref="X13:AB13"/>
    <mergeCell ref="AC13:AG13"/>
    <mergeCell ref="AH13:AL13"/>
    <mergeCell ref="AM13:AQ13"/>
    <mergeCell ref="AR31:AV31"/>
    <mergeCell ref="AW31:BA31"/>
    <mergeCell ref="BB31:BF31"/>
    <mergeCell ref="BG31:BK31"/>
    <mergeCell ref="I31:M31"/>
    <mergeCell ref="N31:R31"/>
    <mergeCell ref="S31:W31"/>
    <mergeCell ref="X31:AB31"/>
    <mergeCell ref="AC31:AG31"/>
    <mergeCell ref="AH31:AL31"/>
    <mergeCell ref="AM31:AQ31"/>
    <mergeCell ref="AR34:AV34"/>
    <mergeCell ref="AW34:BA34"/>
    <mergeCell ref="BB34:BF34"/>
    <mergeCell ref="BG34:BK34"/>
    <mergeCell ref="I34:M34"/>
    <mergeCell ref="N34:R34"/>
    <mergeCell ref="S34:W34"/>
    <mergeCell ref="X34:AB34"/>
    <mergeCell ref="AC34:AG34"/>
    <mergeCell ref="AH34:AL34"/>
    <mergeCell ref="AM34:AQ34"/>
    <mergeCell ref="AR35:AV35"/>
    <mergeCell ref="AW35:BA35"/>
    <mergeCell ref="BB35:BF35"/>
    <mergeCell ref="BG35:BK35"/>
    <mergeCell ref="I35:M35"/>
    <mergeCell ref="N35:R35"/>
    <mergeCell ref="S35:W35"/>
    <mergeCell ref="X35:AB35"/>
    <mergeCell ref="AC35:AG35"/>
    <mergeCell ref="AH35:AL35"/>
    <mergeCell ref="AM35:AQ35"/>
    <mergeCell ref="AR36:AV36"/>
    <mergeCell ref="AW36:BA36"/>
    <mergeCell ref="BB36:BF36"/>
    <mergeCell ref="BG36:BK36"/>
    <mergeCell ref="I36:M36"/>
    <mergeCell ref="N36:R36"/>
    <mergeCell ref="S36:W36"/>
    <mergeCell ref="X36:AB36"/>
    <mergeCell ref="AC36:AG36"/>
    <mergeCell ref="AH36:AL36"/>
    <mergeCell ref="AM36:AQ36"/>
    <mergeCell ref="AR37:AV37"/>
    <mergeCell ref="AW37:BA37"/>
    <mergeCell ref="BB37:BF37"/>
    <mergeCell ref="BG37:BK37"/>
    <mergeCell ref="I37:M37"/>
    <mergeCell ref="N37:R37"/>
    <mergeCell ref="S37:W37"/>
    <mergeCell ref="X37:AB37"/>
    <mergeCell ref="AC37:AG37"/>
    <mergeCell ref="AH37:AL37"/>
    <mergeCell ref="AM37:AQ37"/>
    <mergeCell ref="AR38:AV38"/>
    <mergeCell ref="AW38:BA38"/>
    <mergeCell ref="BB38:BF38"/>
    <mergeCell ref="BG38:BK38"/>
    <mergeCell ref="I38:M38"/>
    <mergeCell ref="N38:R38"/>
    <mergeCell ref="S38:W38"/>
    <mergeCell ref="X38:AB38"/>
    <mergeCell ref="AC38:AG38"/>
    <mergeCell ref="AH38:AL38"/>
    <mergeCell ref="AM38:AQ38"/>
    <mergeCell ref="AR39:AV39"/>
    <mergeCell ref="AW39:BA39"/>
    <mergeCell ref="BB39:BF39"/>
    <mergeCell ref="BG39:BK39"/>
    <mergeCell ref="I39:M39"/>
    <mergeCell ref="N39:R39"/>
    <mergeCell ref="S39:W39"/>
    <mergeCell ref="X39:AB39"/>
    <mergeCell ref="AC39:AG39"/>
    <mergeCell ref="AH39:AL39"/>
    <mergeCell ref="AM39:AQ39"/>
    <mergeCell ref="AR40:AV40"/>
    <mergeCell ref="AW40:BA40"/>
    <mergeCell ref="BB40:BF40"/>
    <mergeCell ref="BG40:BK40"/>
    <mergeCell ref="I40:M40"/>
    <mergeCell ref="N40:R40"/>
    <mergeCell ref="S40:W40"/>
    <mergeCell ref="X40:AB40"/>
    <mergeCell ref="AC40:AG40"/>
    <mergeCell ref="AH40:AL40"/>
    <mergeCell ref="AM40:AQ40"/>
    <mergeCell ref="AR41:AV41"/>
    <mergeCell ref="AW41:BA41"/>
    <mergeCell ref="BB41:BF41"/>
    <mergeCell ref="BG41:BK41"/>
    <mergeCell ref="I41:M41"/>
    <mergeCell ref="N41:R41"/>
    <mergeCell ref="S41:W41"/>
    <mergeCell ref="X41:AB41"/>
    <mergeCell ref="AC41:AG41"/>
    <mergeCell ref="AH41:AL41"/>
    <mergeCell ref="AM41:AQ41"/>
    <mergeCell ref="AR42:AV42"/>
    <mergeCell ref="AW42:BA42"/>
    <mergeCell ref="BB42:BF42"/>
    <mergeCell ref="BG42:BK42"/>
    <mergeCell ref="I42:M42"/>
    <mergeCell ref="N42:R42"/>
    <mergeCell ref="S42:W42"/>
    <mergeCell ref="X42:AB42"/>
    <mergeCell ref="AC42:AG42"/>
    <mergeCell ref="AH42:AL42"/>
    <mergeCell ref="AM42:AQ42"/>
    <mergeCell ref="AR43:AV43"/>
    <mergeCell ref="AW43:BA43"/>
    <mergeCell ref="BB43:BF43"/>
    <mergeCell ref="BG43:BK43"/>
    <mergeCell ref="I43:M43"/>
    <mergeCell ref="N43:R43"/>
    <mergeCell ref="S43:W43"/>
    <mergeCell ref="X43:AB43"/>
    <mergeCell ref="AC43:AG43"/>
    <mergeCell ref="AH43:AL43"/>
    <mergeCell ref="AM43:AQ43"/>
    <mergeCell ref="AR44:AV44"/>
    <mergeCell ref="AW44:BA44"/>
    <mergeCell ref="BB44:BF44"/>
    <mergeCell ref="BG44:BK44"/>
    <mergeCell ref="I44:M44"/>
    <mergeCell ref="N44:R44"/>
    <mergeCell ref="S44:W44"/>
    <mergeCell ref="X44:AB44"/>
    <mergeCell ref="AC44:AG44"/>
    <mergeCell ref="AH44:AL44"/>
    <mergeCell ref="AM44:AQ44"/>
    <mergeCell ref="AR45:AV45"/>
    <mergeCell ref="AW45:BA45"/>
    <mergeCell ref="BB45:BF45"/>
    <mergeCell ref="BG45:BK45"/>
    <mergeCell ref="I45:M45"/>
    <mergeCell ref="N45:R45"/>
    <mergeCell ref="S45:W45"/>
    <mergeCell ref="X45:AB45"/>
    <mergeCell ref="AC45:AG45"/>
    <mergeCell ref="AH45:AL45"/>
    <mergeCell ref="AM45:AQ45"/>
    <mergeCell ref="AR46:AV46"/>
    <mergeCell ref="AW46:BA46"/>
    <mergeCell ref="BB46:BF46"/>
    <mergeCell ref="BG46:BK46"/>
    <mergeCell ref="I46:M46"/>
    <mergeCell ref="N46:R46"/>
    <mergeCell ref="S46:W46"/>
    <mergeCell ref="X46:AB46"/>
    <mergeCell ref="AC46:AG46"/>
    <mergeCell ref="AH46:AL46"/>
    <mergeCell ref="AM46:AQ46"/>
    <mergeCell ref="AR47:AV47"/>
    <mergeCell ref="AW47:BA47"/>
    <mergeCell ref="BB47:BF47"/>
    <mergeCell ref="BG47:BK47"/>
    <mergeCell ref="I47:M47"/>
    <mergeCell ref="N47:R47"/>
    <mergeCell ref="S47:W47"/>
    <mergeCell ref="X47:AB47"/>
    <mergeCell ref="AC47:AG47"/>
    <mergeCell ref="AH47:AL47"/>
    <mergeCell ref="AM47:AQ47"/>
    <mergeCell ref="AR48:AV48"/>
    <mergeCell ref="AW48:BA48"/>
    <mergeCell ref="BB48:BF48"/>
    <mergeCell ref="BG48:BK48"/>
    <mergeCell ref="I48:M48"/>
    <mergeCell ref="N48:R48"/>
    <mergeCell ref="S48:W48"/>
    <mergeCell ref="X48:AB48"/>
    <mergeCell ref="AC48:AG48"/>
    <mergeCell ref="AH48:AL48"/>
    <mergeCell ref="AM48:AQ48"/>
    <mergeCell ref="AR49:AV49"/>
    <mergeCell ref="AW49:BA49"/>
    <mergeCell ref="BB49:BF49"/>
    <mergeCell ref="BG49:BK49"/>
    <mergeCell ref="I49:M49"/>
    <mergeCell ref="N49:R49"/>
    <mergeCell ref="S49:W49"/>
    <mergeCell ref="X49:AB49"/>
    <mergeCell ref="AC49:AG49"/>
    <mergeCell ref="AH49:AL49"/>
    <mergeCell ref="AM49:AQ49"/>
    <mergeCell ref="AR56:AV56"/>
    <mergeCell ref="AW56:BA56"/>
    <mergeCell ref="BB56:BF56"/>
    <mergeCell ref="BG56:BK56"/>
    <mergeCell ref="I56:M56"/>
    <mergeCell ref="N56:R56"/>
    <mergeCell ref="S56:W56"/>
    <mergeCell ref="X56:AB56"/>
    <mergeCell ref="AC56:AG56"/>
    <mergeCell ref="AH56:AL56"/>
    <mergeCell ref="AM56:AQ56"/>
    <mergeCell ref="AR30:AV30"/>
    <mergeCell ref="AW30:BA30"/>
    <mergeCell ref="BB30:BF30"/>
    <mergeCell ref="BG30:BK30"/>
    <mergeCell ref="I30:M30"/>
    <mergeCell ref="N30:R30"/>
    <mergeCell ref="S30:W30"/>
    <mergeCell ref="X30:AB30"/>
    <mergeCell ref="AC30:AG30"/>
    <mergeCell ref="AH30:AL30"/>
    <mergeCell ref="AM30:AQ30"/>
    <mergeCell ref="AM32:AQ32"/>
    <mergeCell ref="AR32:AV32"/>
    <mergeCell ref="AW32:BA32"/>
    <mergeCell ref="BB32:BF32"/>
    <mergeCell ref="BG32:BK32"/>
    <mergeCell ref="D32:E32"/>
    <mergeCell ref="I32:M32"/>
    <mergeCell ref="N32:R32"/>
    <mergeCell ref="S32:W32"/>
    <mergeCell ref="X32:AB32"/>
    <mergeCell ref="AC32:AG32"/>
    <mergeCell ref="AH32:AL32"/>
    <mergeCell ref="AR33:AV33"/>
    <mergeCell ref="AW33:BA33"/>
    <mergeCell ref="BB33:BF33"/>
    <mergeCell ref="BG33:BK33"/>
    <mergeCell ref="I33:M33"/>
    <mergeCell ref="N33:R33"/>
    <mergeCell ref="S33:W33"/>
    <mergeCell ref="X33:AB33"/>
    <mergeCell ref="AC33:AG33"/>
    <mergeCell ref="AH33:AL33"/>
    <mergeCell ref="AM33:AQ33"/>
    <mergeCell ref="AR57:AV57"/>
    <mergeCell ref="AW57:BA57"/>
    <mergeCell ref="BB57:BF57"/>
    <mergeCell ref="BG57:BK57"/>
    <mergeCell ref="AR50:AV50"/>
    <mergeCell ref="AW50:BA50"/>
    <mergeCell ref="BB50:BF50"/>
    <mergeCell ref="BG50:BK50"/>
    <mergeCell ref="I50:M50"/>
    <mergeCell ref="N50:R50"/>
    <mergeCell ref="S50:W50"/>
    <mergeCell ref="X50:AB50"/>
    <mergeCell ref="AC50:AG50"/>
    <mergeCell ref="AH50:AL50"/>
    <mergeCell ref="AM50:AQ50"/>
    <mergeCell ref="AR51:AV51"/>
    <mergeCell ref="AW51:BA51"/>
    <mergeCell ref="BB51:BF51"/>
    <mergeCell ref="BG51:BK51"/>
    <mergeCell ref="I51:M51"/>
    <mergeCell ref="N51:R51"/>
    <mergeCell ref="S51:W51"/>
    <mergeCell ref="X51:AB51"/>
    <mergeCell ref="AC51:AG51"/>
    <mergeCell ref="AH51:AL51"/>
    <mergeCell ref="AM51:AQ51"/>
    <mergeCell ref="AR52:AV52"/>
    <mergeCell ref="AW52:BA52"/>
    <mergeCell ref="BB52:BF52"/>
    <mergeCell ref="BG52:BK52"/>
    <mergeCell ref="I52:M52"/>
    <mergeCell ref="N52:R52"/>
    <mergeCell ref="S52:W52"/>
    <mergeCell ref="X52:AB52"/>
    <mergeCell ref="AC52:AG52"/>
    <mergeCell ref="AH52:AL52"/>
    <mergeCell ref="AM52:AQ52"/>
    <mergeCell ref="AR53:AV53"/>
    <mergeCell ref="AW53:BA53"/>
    <mergeCell ref="BB53:BF53"/>
    <mergeCell ref="BG53:BK53"/>
    <mergeCell ref="I53:M53"/>
    <mergeCell ref="N53:R53"/>
    <mergeCell ref="S53:W53"/>
    <mergeCell ref="X53:AB53"/>
    <mergeCell ref="AC53:AG53"/>
    <mergeCell ref="AH53:AL53"/>
    <mergeCell ref="AM53:AQ53"/>
    <mergeCell ref="AR54:AV54"/>
    <mergeCell ref="AW54:BA54"/>
    <mergeCell ref="BB54:BF54"/>
    <mergeCell ref="BG54:BK54"/>
    <mergeCell ref="I54:M54"/>
    <mergeCell ref="N54:R54"/>
    <mergeCell ref="S54:W54"/>
    <mergeCell ref="X54:AB54"/>
    <mergeCell ref="AC54:AG54"/>
    <mergeCell ref="AH54:AL54"/>
    <mergeCell ref="AM54:AQ54"/>
    <mergeCell ref="AR55:AV55"/>
    <mergeCell ref="AW55:BA55"/>
    <mergeCell ref="BB55:BF55"/>
    <mergeCell ref="BG55:BK55"/>
    <mergeCell ref="I55:M55"/>
    <mergeCell ref="N55:R55"/>
    <mergeCell ref="S55:W55"/>
    <mergeCell ref="X55:AB55"/>
    <mergeCell ref="AC55:AG55"/>
    <mergeCell ref="AH55:AL55"/>
    <mergeCell ref="AM55:AQ55"/>
    <mergeCell ref="I57:M57"/>
    <mergeCell ref="I58:M58"/>
    <mergeCell ref="I59:M59"/>
    <mergeCell ref="I60:M60"/>
    <mergeCell ref="I61:M61"/>
    <mergeCell ref="AH58:AL58"/>
    <mergeCell ref="AM58:AQ58"/>
    <mergeCell ref="AR58:AV58"/>
    <mergeCell ref="AW58:BA58"/>
    <mergeCell ref="BB58:BF58"/>
    <mergeCell ref="BG58:BK58"/>
    <mergeCell ref="N57:R57"/>
    <mergeCell ref="S57:W57"/>
    <mergeCell ref="X57:AB57"/>
    <mergeCell ref="AC57:AG57"/>
    <mergeCell ref="AH57:AL57"/>
    <mergeCell ref="AM57:AQ57"/>
    <mergeCell ref="D58:E58"/>
    <mergeCell ref="AW59:BA59"/>
    <mergeCell ref="BB59:BF59"/>
    <mergeCell ref="BG59:BK59"/>
    <mergeCell ref="BG61:BK61"/>
    <mergeCell ref="X58:AB58"/>
    <mergeCell ref="AC58:AG58"/>
    <mergeCell ref="X59:AB59"/>
    <mergeCell ref="AC59:AG59"/>
    <mergeCell ref="AH59:AL59"/>
    <mergeCell ref="AM59:AQ59"/>
    <mergeCell ref="AR59:AV59"/>
    <mergeCell ref="AC60:AG60"/>
    <mergeCell ref="AH60:AL60"/>
    <mergeCell ref="AM60:AQ60"/>
    <mergeCell ref="AR60:AV60"/>
    <mergeCell ref="AW60:BA60"/>
    <mergeCell ref="BB60:BF60"/>
    <mergeCell ref="BG60:BK60"/>
    <mergeCell ref="N58:R58"/>
    <mergeCell ref="S58:W58"/>
    <mergeCell ref="N59:R59"/>
    <mergeCell ref="S59:W59"/>
    <mergeCell ref="N60:R60"/>
    <mergeCell ref="S60:W60"/>
    <mergeCell ref="X60:AB6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5B22"/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3.44" defaultRowHeight="15.0"/>
  <cols>
    <col customWidth="1" min="1" max="1" width="3.78"/>
    <col customWidth="1" min="2" max="2" width="19.56"/>
    <col customWidth="1" min="3" max="3" width="15.78"/>
    <col customWidth="1" min="4" max="4" width="8.0"/>
    <col customWidth="1" min="5" max="5" width="6.78"/>
    <col customWidth="1" min="6" max="6" width="12.44"/>
    <col customWidth="1" min="7" max="7" width="12.33"/>
    <col customWidth="1" min="8" max="8" width="4.0"/>
    <col customWidth="1" min="9" max="48" width="2.89"/>
    <col customWidth="1" min="49" max="63" width="3.0"/>
  </cols>
  <sheetData>
    <row r="1" ht="21.0" customHeight="1">
      <c r="A1" s="1"/>
      <c r="B1" s="2"/>
      <c r="C1" s="3"/>
      <c r="D1" s="3"/>
      <c r="E1" s="3"/>
      <c r="F1" s="3"/>
      <c r="G1" s="4"/>
      <c r="H1" s="4"/>
      <c r="I1" s="5"/>
      <c r="J1" s="6"/>
      <c r="K1" s="7"/>
      <c r="L1" s="8"/>
      <c r="M1" s="7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1"/>
      <c r="Z1" s="11"/>
      <c r="AA1" s="11"/>
      <c r="AB1" s="11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</row>
    <row r="2" ht="21.0" customHeight="1">
      <c r="A2" s="10"/>
      <c r="B2" s="122" t="s">
        <v>166</v>
      </c>
      <c r="C2" s="12"/>
      <c r="D2" s="12"/>
      <c r="E2" s="12"/>
      <c r="F2" s="12"/>
      <c r="G2" s="12"/>
      <c r="H2" s="12"/>
      <c r="I2" s="13"/>
      <c r="J2" s="14"/>
      <c r="K2" s="14"/>
      <c r="L2" s="14"/>
      <c r="M2" s="14"/>
      <c r="N2" s="14"/>
      <c r="O2" s="15"/>
      <c r="P2" s="14"/>
      <c r="Q2" s="14"/>
      <c r="R2" s="14"/>
      <c r="S2" s="14"/>
      <c r="T2" s="14"/>
      <c r="U2" s="14"/>
      <c r="V2" s="14"/>
      <c r="W2" s="14"/>
      <c r="X2" s="16"/>
      <c r="Y2" s="16"/>
      <c r="Z2" s="16"/>
      <c r="AA2" s="16"/>
      <c r="AB2" s="16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ht="21.0" customHeight="1">
      <c r="A3" s="17"/>
      <c r="B3" s="18"/>
      <c r="C3" s="18"/>
      <c r="D3" s="18"/>
      <c r="E3" s="18"/>
      <c r="F3" s="18"/>
      <c r="G3" s="18"/>
      <c r="H3" s="19"/>
      <c r="I3" s="123"/>
      <c r="S3" s="123"/>
      <c r="AC3" s="123"/>
      <c r="AM3" s="123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</row>
    <row r="4" ht="21.0" customHeight="1">
      <c r="A4" s="20"/>
      <c r="B4" s="21"/>
      <c r="D4" s="21"/>
      <c r="E4" s="21"/>
      <c r="I4" s="22" t="s">
        <v>2</v>
      </c>
      <c r="R4" s="23"/>
      <c r="S4" s="22" t="s">
        <v>3</v>
      </c>
      <c r="AB4" s="23"/>
      <c r="AC4" s="24" t="s">
        <v>4</v>
      </c>
      <c r="AL4" s="23"/>
      <c r="AM4" s="24" t="s">
        <v>5</v>
      </c>
      <c r="AV4" s="23"/>
      <c r="AW4" s="25" t="s">
        <v>170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7"/>
    </row>
    <row r="5" ht="21.0" customHeight="1">
      <c r="A5" s="28"/>
      <c r="D5" s="21"/>
      <c r="I5" s="29" t="s">
        <v>7</v>
      </c>
      <c r="J5" s="30"/>
      <c r="K5" s="30"/>
      <c r="L5" s="30"/>
      <c r="M5" s="30"/>
      <c r="N5" s="29" t="s">
        <v>8</v>
      </c>
      <c r="O5" s="30"/>
      <c r="P5" s="30"/>
      <c r="Q5" s="30"/>
      <c r="R5" s="30"/>
      <c r="S5" s="29" t="s">
        <v>7</v>
      </c>
      <c r="T5" s="30"/>
      <c r="U5" s="30"/>
      <c r="V5" s="30"/>
      <c r="W5" s="30"/>
      <c r="X5" s="29" t="s">
        <v>8</v>
      </c>
      <c r="Y5" s="30"/>
      <c r="Z5" s="30"/>
      <c r="AA5" s="30"/>
      <c r="AB5" s="30"/>
      <c r="AC5" s="29" t="s">
        <v>7</v>
      </c>
      <c r="AD5" s="30"/>
      <c r="AE5" s="30"/>
      <c r="AF5" s="30"/>
      <c r="AG5" s="30"/>
      <c r="AH5" s="29" t="s">
        <v>8</v>
      </c>
      <c r="AI5" s="30"/>
      <c r="AJ5" s="30"/>
      <c r="AK5" s="30"/>
      <c r="AL5" s="30"/>
      <c r="AM5" s="29" t="s">
        <v>7</v>
      </c>
      <c r="AN5" s="30"/>
      <c r="AO5" s="30"/>
      <c r="AP5" s="30"/>
      <c r="AQ5" s="30"/>
      <c r="AR5" s="29" t="s">
        <v>8</v>
      </c>
      <c r="AS5" s="30"/>
      <c r="AT5" s="30"/>
      <c r="AU5" s="30"/>
      <c r="AV5" s="30"/>
      <c r="AW5" s="31" t="s">
        <v>9</v>
      </c>
      <c r="AX5" s="30"/>
      <c r="AY5" s="30"/>
      <c r="AZ5" s="30"/>
      <c r="BA5" s="30"/>
      <c r="BB5" s="29" t="s">
        <v>8</v>
      </c>
      <c r="BC5" s="30"/>
      <c r="BD5" s="30"/>
      <c r="BE5" s="30"/>
      <c r="BF5" s="30"/>
      <c r="BG5" s="29" t="s">
        <v>10</v>
      </c>
      <c r="BH5" s="30"/>
      <c r="BI5" s="30"/>
      <c r="BJ5" s="30"/>
      <c r="BK5" s="32"/>
    </row>
    <row r="6" ht="21.0" customHeight="1">
      <c r="A6" s="33"/>
      <c r="B6" s="124" t="s">
        <v>172</v>
      </c>
      <c r="C6" s="124" t="s">
        <v>12</v>
      </c>
      <c r="D6" s="125" t="s">
        <v>13</v>
      </c>
      <c r="E6" s="36"/>
      <c r="F6" s="124" t="s">
        <v>14</v>
      </c>
      <c r="G6" s="124" t="s">
        <v>15</v>
      </c>
      <c r="H6" s="124" t="s">
        <v>16</v>
      </c>
      <c r="I6" s="126"/>
      <c r="J6" s="36"/>
      <c r="K6" s="36"/>
      <c r="L6" s="36"/>
      <c r="M6" s="36"/>
      <c r="N6" s="127"/>
      <c r="O6" s="36"/>
      <c r="P6" s="36"/>
      <c r="Q6" s="36"/>
      <c r="R6" s="36"/>
      <c r="S6" s="126"/>
      <c r="T6" s="36"/>
      <c r="U6" s="36"/>
      <c r="V6" s="36"/>
      <c r="W6" s="36"/>
      <c r="X6" s="127"/>
      <c r="Y6" s="36"/>
      <c r="Z6" s="36"/>
      <c r="AA6" s="36"/>
      <c r="AB6" s="36"/>
      <c r="AC6" s="127"/>
      <c r="AD6" s="36"/>
      <c r="AE6" s="36"/>
      <c r="AF6" s="36"/>
      <c r="AG6" s="36"/>
      <c r="AH6" s="127"/>
      <c r="AI6" s="36"/>
      <c r="AJ6" s="36"/>
      <c r="AK6" s="36"/>
      <c r="AL6" s="36"/>
      <c r="AM6" s="127"/>
      <c r="AN6" s="36"/>
      <c r="AO6" s="36"/>
      <c r="AP6" s="36"/>
      <c r="AQ6" s="36"/>
      <c r="AR6" s="127"/>
      <c r="AS6" s="36"/>
      <c r="AT6" s="36"/>
      <c r="AU6" s="36"/>
      <c r="AV6" s="36"/>
      <c r="AW6" s="128">
        <v>350000.0</v>
      </c>
      <c r="AX6" s="36"/>
      <c r="AY6" s="36"/>
      <c r="AZ6" s="36"/>
      <c r="BA6" s="36"/>
      <c r="BB6" s="40">
        <f>sum(BB7:BF65)</f>
        <v>73541.28</v>
      </c>
      <c r="BC6" s="36"/>
      <c r="BD6" s="36"/>
      <c r="BE6" s="36"/>
      <c r="BF6" s="36"/>
      <c r="BG6" s="129">
        <f>AW6-BB6</f>
        <v>276458.72</v>
      </c>
      <c r="BH6" s="36"/>
      <c r="BI6" s="36"/>
      <c r="BJ6" s="36"/>
      <c r="BK6" s="42"/>
    </row>
    <row r="7" ht="21.0" customHeight="1">
      <c r="A7" s="43"/>
      <c r="B7" s="44" t="s">
        <v>93</v>
      </c>
      <c r="C7" s="44" t="s">
        <v>94</v>
      </c>
      <c r="D7" s="45">
        <v>44851.0</v>
      </c>
      <c r="E7" s="84">
        <v>44855.0</v>
      </c>
      <c r="F7" s="44" t="s">
        <v>25</v>
      </c>
      <c r="G7" s="44" t="s">
        <v>26</v>
      </c>
      <c r="H7" s="44" t="s">
        <v>21</v>
      </c>
      <c r="I7" s="85">
        <v>1734.37</v>
      </c>
      <c r="J7" s="47"/>
      <c r="K7" s="47"/>
      <c r="L7" s="47"/>
      <c r="M7" s="48"/>
      <c r="N7" s="86">
        <v>1782.83</v>
      </c>
      <c r="O7" s="47"/>
      <c r="P7" s="47"/>
      <c r="Q7" s="47"/>
      <c r="R7" s="48"/>
      <c r="S7" s="50"/>
      <c r="T7" s="47"/>
      <c r="U7" s="47"/>
      <c r="V7" s="47"/>
      <c r="W7" s="48"/>
      <c r="X7" s="52"/>
      <c r="Y7" s="47"/>
      <c r="Z7" s="47"/>
      <c r="AA7" s="47"/>
      <c r="AB7" s="48"/>
      <c r="AC7" s="50"/>
      <c r="AD7" s="47"/>
      <c r="AE7" s="47"/>
      <c r="AF7" s="47"/>
      <c r="AG7" s="48"/>
      <c r="AH7" s="52"/>
      <c r="AI7" s="47"/>
      <c r="AJ7" s="47"/>
      <c r="AK7" s="47"/>
      <c r="AL7" s="48"/>
      <c r="AM7" s="50"/>
      <c r="AN7" s="47"/>
      <c r="AO7" s="47"/>
      <c r="AP7" s="47"/>
      <c r="AQ7" s="48"/>
      <c r="AR7" s="51"/>
      <c r="AS7" s="47"/>
      <c r="AT7" s="47"/>
      <c r="AU7" s="47"/>
      <c r="AV7" s="48"/>
      <c r="AW7" s="53" t="s">
        <v>172</v>
      </c>
      <c r="AX7" s="47"/>
      <c r="AY7" s="47"/>
      <c r="AZ7" s="47"/>
      <c r="BA7" s="48"/>
      <c r="BB7" s="54">
        <f>SUM(N7:R22)</f>
        <v>3250.3</v>
      </c>
      <c r="BC7" s="47"/>
      <c r="BD7" s="47"/>
      <c r="BE7" s="47"/>
      <c r="BF7" s="48"/>
      <c r="BG7" s="55" t="s">
        <v>22</v>
      </c>
      <c r="BH7" s="47"/>
      <c r="BI7" s="47"/>
      <c r="BJ7" s="47"/>
      <c r="BK7" s="56"/>
    </row>
    <row r="8" ht="21.0" customHeight="1">
      <c r="A8" s="43"/>
      <c r="B8" s="44" t="s">
        <v>93</v>
      </c>
      <c r="C8" s="44" t="s">
        <v>29</v>
      </c>
      <c r="D8" s="45">
        <v>44872.0</v>
      </c>
      <c r="E8" s="45">
        <v>44875.0</v>
      </c>
      <c r="F8" s="44" t="s">
        <v>30</v>
      </c>
      <c r="G8" s="44" t="s">
        <v>26</v>
      </c>
      <c r="H8" s="57" t="s">
        <v>21</v>
      </c>
      <c r="I8" s="46">
        <v>1532.45</v>
      </c>
      <c r="J8" s="47"/>
      <c r="K8" s="47"/>
      <c r="L8" s="47"/>
      <c r="M8" s="48"/>
      <c r="N8" s="86">
        <v>1467.47</v>
      </c>
      <c r="O8" s="47"/>
      <c r="P8" s="47"/>
      <c r="Q8" s="47"/>
      <c r="R8" s="48"/>
      <c r="S8" s="50"/>
      <c r="T8" s="47"/>
      <c r="U8" s="47"/>
      <c r="V8" s="47"/>
      <c r="W8" s="48"/>
      <c r="X8" s="51"/>
      <c r="Y8" s="47"/>
      <c r="Z8" s="47"/>
      <c r="AA8" s="47"/>
      <c r="AB8" s="48"/>
      <c r="AC8" s="50"/>
      <c r="AD8" s="47"/>
      <c r="AE8" s="47"/>
      <c r="AF8" s="47"/>
      <c r="AG8" s="48"/>
      <c r="AH8" s="52"/>
      <c r="AI8" s="47"/>
      <c r="AJ8" s="47"/>
      <c r="AK8" s="47"/>
      <c r="AL8" s="48"/>
      <c r="AM8" s="50"/>
      <c r="AN8" s="47"/>
      <c r="AO8" s="47"/>
      <c r="AP8" s="47"/>
      <c r="AQ8" s="48"/>
      <c r="AR8" s="51"/>
      <c r="AS8" s="47"/>
      <c r="AT8" s="47"/>
      <c r="AU8" s="47"/>
      <c r="AV8" s="48"/>
      <c r="AW8" s="53"/>
      <c r="AX8" s="47"/>
      <c r="AY8" s="47"/>
      <c r="AZ8" s="47"/>
      <c r="BA8" s="48"/>
      <c r="BB8" s="54">
        <f>SUM(X7:AB22)</f>
        <v>0</v>
      </c>
      <c r="BC8" s="47"/>
      <c r="BD8" s="47"/>
      <c r="BE8" s="47"/>
      <c r="BF8" s="48"/>
      <c r="BG8" s="55" t="s">
        <v>3</v>
      </c>
      <c r="BH8" s="47"/>
      <c r="BI8" s="47"/>
      <c r="BJ8" s="47"/>
      <c r="BK8" s="56"/>
    </row>
    <row r="9" ht="21.0" customHeight="1">
      <c r="A9" s="43"/>
      <c r="B9" s="44" t="s">
        <v>93</v>
      </c>
      <c r="C9" s="44" t="s">
        <v>179</v>
      </c>
      <c r="D9" s="45">
        <v>45048.0</v>
      </c>
      <c r="E9" s="45">
        <v>45049.0</v>
      </c>
      <c r="F9" s="44" t="s">
        <v>180</v>
      </c>
      <c r="G9" s="44" t="s">
        <v>26</v>
      </c>
      <c r="H9" s="57" t="s">
        <v>60</v>
      </c>
      <c r="I9" s="50"/>
      <c r="J9" s="47"/>
      <c r="K9" s="47"/>
      <c r="L9" s="47"/>
      <c r="M9" s="48"/>
      <c r="N9" s="61"/>
      <c r="O9" s="47"/>
      <c r="P9" s="47"/>
      <c r="Q9" s="47"/>
      <c r="R9" s="48"/>
      <c r="S9" s="50"/>
      <c r="T9" s="47"/>
      <c r="U9" s="47"/>
      <c r="V9" s="47"/>
      <c r="W9" s="48"/>
      <c r="X9" s="100"/>
      <c r="Y9" s="47"/>
      <c r="Z9" s="47"/>
      <c r="AA9" s="47"/>
      <c r="AB9" s="48"/>
      <c r="AC9" s="46" t="s">
        <v>56</v>
      </c>
      <c r="AD9" s="47"/>
      <c r="AE9" s="47"/>
      <c r="AF9" s="47"/>
      <c r="AG9" s="48"/>
      <c r="AH9" s="82">
        <v>114.68</v>
      </c>
      <c r="AI9" s="47"/>
      <c r="AJ9" s="47"/>
      <c r="AK9" s="47"/>
      <c r="AL9" s="48"/>
      <c r="AM9" s="50"/>
      <c r="AN9" s="47"/>
      <c r="AO9" s="47"/>
      <c r="AP9" s="47"/>
      <c r="AQ9" s="48"/>
      <c r="AR9" s="52"/>
      <c r="AS9" s="47"/>
      <c r="AT9" s="47"/>
      <c r="AU9" s="47"/>
      <c r="AV9" s="48"/>
      <c r="AW9" s="53"/>
      <c r="AX9" s="47"/>
      <c r="AY9" s="47"/>
      <c r="AZ9" s="47"/>
      <c r="BA9" s="48"/>
      <c r="BB9" s="54">
        <f>SUM(AH7:AL22)</f>
        <v>4650.04</v>
      </c>
      <c r="BC9" s="47"/>
      <c r="BD9" s="47"/>
      <c r="BE9" s="47"/>
      <c r="BF9" s="48"/>
      <c r="BG9" s="55" t="s">
        <v>4</v>
      </c>
      <c r="BH9" s="47"/>
      <c r="BI9" s="47"/>
      <c r="BJ9" s="47"/>
      <c r="BK9" s="56"/>
    </row>
    <row r="10" ht="21.0" customHeight="1">
      <c r="A10" s="43"/>
      <c r="B10" s="44" t="s">
        <v>183</v>
      </c>
      <c r="C10" s="44" t="s">
        <v>179</v>
      </c>
      <c r="D10" s="45">
        <v>45049.0</v>
      </c>
      <c r="E10" s="45">
        <v>45050.0</v>
      </c>
      <c r="F10" s="44" t="s">
        <v>180</v>
      </c>
      <c r="G10" s="44" t="s">
        <v>26</v>
      </c>
      <c r="H10" s="57" t="s">
        <v>60</v>
      </c>
      <c r="I10" s="50"/>
      <c r="J10" s="47"/>
      <c r="K10" s="47"/>
      <c r="L10" s="47"/>
      <c r="M10" s="48"/>
      <c r="N10" s="61"/>
      <c r="O10" s="47"/>
      <c r="P10" s="47"/>
      <c r="Q10" s="47"/>
      <c r="R10" s="48"/>
      <c r="S10" s="50"/>
      <c r="T10" s="47"/>
      <c r="U10" s="47"/>
      <c r="V10" s="47"/>
      <c r="W10" s="48"/>
      <c r="X10" s="100"/>
      <c r="Y10" s="47"/>
      <c r="Z10" s="47"/>
      <c r="AA10" s="47"/>
      <c r="AB10" s="48"/>
      <c r="AC10" s="46" t="s">
        <v>56</v>
      </c>
      <c r="AD10" s="47"/>
      <c r="AE10" s="47"/>
      <c r="AF10" s="47"/>
      <c r="AG10" s="48"/>
      <c r="AH10" s="82">
        <v>51.62</v>
      </c>
      <c r="AI10" s="47"/>
      <c r="AJ10" s="47"/>
      <c r="AK10" s="47"/>
      <c r="AL10" s="48"/>
      <c r="AM10" s="91"/>
      <c r="AN10" s="47"/>
      <c r="AO10" s="47"/>
      <c r="AP10" s="47"/>
      <c r="AQ10" s="48"/>
      <c r="AR10" s="52"/>
      <c r="AS10" s="47"/>
      <c r="AT10" s="47"/>
      <c r="AU10" s="47"/>
      <c r="AV10" s="48"/>
      <c r="AW10" s="53"/>
      <c r="AX10" s="47"/>
      <c r="AY10" s="47"/>
      <c r="AZ10" s="47"/>
      <c r="BA10" s="48"/>
      <c r="BB10" s="54">
        <f>SUM(AR7:AV22)</f>
        <v>10512.81</v>
      </c>
      <c r="BC10" s="47"/>
      <c r="BD10" s="47"/>
      <c r="BE10" s="47"/>
      <c r="BF10" s="48"/>
      <c r="BG10" s="55" t="s">
        <v>5</v>
      </c>
      <c r="BH10" s="47"/>
      <c r="BI10" s="47"/>
      <c r="BJ10" s="47"/>
      <c r="BK10" s="56"/>
    </row>
    <row r="11" ht="21.0" customHeight="1">
      <c r="A11" s="43"/>
      <c r="B11" s="44" t="s">
        <v>93</v>
      </c>
      <c r="C11" s="44" t="s">
        <v>188</v>
      </c>
      <c r="D11" s="45">
        <v>45096.0</v>
      </c>
      <c r="E11" s="45">
        <v>45100.0</v>
      </c>
      <c r="F11" s="44" t="s">
        <v>30</v>
      </c>
      <c r="G11" s="44" t="s">
        <v>84</v>
      </c>
      <c r="H11" s="57" t="s">
        <v>27</v>
      </c>
      <c r="I11" s="50"/>
      <c r="J11" s="47"/>
      <c r="K11" s="47"/>
      <c r="L11" s="47"/>
      <c r="M11" s="48"/>
      <c r="N11" s="61"/>
      <c r="O11" s="47"/>
      <c r="P11" s="47"/>
      <c r="Q11" s="47"/>
      <c r="R11" s="48"/>
      <c r="S11" s="50"/>
      <c r="T11" s="47"/>
      <c r="U11" s="47"/>
      <c r="V11" s="47"/>
      <c r="W11" s="48"/>
      <c r="X11" s="100"/>
      <c r="Y11" s="47"/>
      <c r="Z11" s="47"/>
      <c r="AA11" s="47"/>
      <c r="AB11" s="48"/>
      <c r="AC11" s="46">
        <v>1643.92</v>
      </c>
      <c r="AD11" s="47"/>
      <c r="AE11" s="47"/>
      <c r="AF11" s="47"/>
      <c r="AG11" s="48"/>
      <c r="AH11" s="82">
        <v>1614.12</v>
      </c>
      <c r="AI11" s="47"/>
      <c r="AJ11" s="47"/>
      <c r="AK11" s="47"/>
      <c r="AL11" s="48"/>
      <c r="AM11" s="91"/>
      <c r="AN11" s="47"/>
      <c r="AO11" s="47"/>
      <c r="AP11" s="47"/>
      <c r="AQ11" s="48"/>
      <c r="AR11" s="52"/>
      <c r="AS11" s="47"/>
      <c r="AT11" s="47"/>
      <c r="AU11" s="47"/>
      <c r="AV11" s="48"/>
      <c r="AW11" s="53"/>
      <c r="AX11" s="47"/>
      <c r="AY11" s="47"/>
      <c r="AZ11" s="47"/>
      <c r="BA11" s="48"/>
      <c r="BB11" s="54"/>
      <c r="BC11" s="47"/>
      <c r="BD11" s="47"/>
      <c r="BE11" s="47"/>
      <c r="BF11" s="48"/>
      <c r="BG11" s="55"/>
      <c r="BH11" s="47"/>
      <c r="BI11" s="47"/>
      <c r="BJ11" s="47"/>
      <c r="BK11" s="56"/>
    </row>
    <row r="12" ht="21.0" customHeight="1">
      <c r="A12" s="43"/>
      <c r="B12" s="44" t="s">
        <v>17</v>
      </c>
      <c r="C12" s="44" t="s">
        <v>190</v>
      </c>
      <c r="D12" s="102">
        <v>45084.0</v>
      </c>
      <c r="E12" s="45">
        <v>45089.0</v>
      </c>
      <c r="F12" s="44" t="s">
        <v>32</v>
      </c>
      <c r="G12" s="44" t="s">
        <v>26</v>
      </c>
      <c r="H12" s="57" t="s">
        <v>21</v>
      </c>
      <c r="I12" s="50"/>
      <c r="J12" s="47"/>
      <c r="K12" s="47"/>
      <c r="L12" s="47"/>
      <c r="M12" s="48"/>
      <c r="N12" s="61"/>
      <c r="O12" s="47"/>
      <c r="P12" s="47"/>
      <c r="Q12" s="47"/>
      <c r="R12" s="48"/>
      <c r="S12" s="91"/>
      <c r="T12" s="47"/>
      <c r="U12" s="47"/>
      <c r="V12" s="47"/>
      <c r="W12" s="48"/>
      <c r="X12" s="100"/>
      <c r="Y12" s="47"/>
      <c r="Z12" s="47"/>
      <c r="AA12" s="47"/>
      <c r="AB12" s="48"/>
      <c r="AC12" s="106">
        <v>1041.25</v>
      </c>
      <c r="AD12" s="47"/>
      <c r="AE12" s="47"/>
      <c r="AF12" s="47"/>
      <c r="AG12" s="48"/>
      <c r="AH12" s="82">
        <v>1203.92</v>
      </c>
      <c r="AI12" s="47"/>
      <c r="AJ12" s="47"/>
      <c r="AK12" s="47"/>
      <c r="AL12" s="48"/>
      <c r="AM12" s="91"/>
      <c r="AN12" s="47"/>
      <c r="AO12" s="47"/>
      <c r="AP12" s="47"/>
      <c r="AQ12" s="48"/>
      <c r="AR12" s="51"/>
      <c r="AS12" s="47"/>
      <c r="AT12" s="47"/>
      <c r="AU12" s="47"/>
      <c r="AV12" s="48"/>
      <c r="AW12" s="53"/>
      <c r="AX12" s="47"/>
      <c r="AY12" s="47"/>
      <c r="AZ12" s="47"/>
      <c r="BA12" s="48"/>
      <c r="BB12" s="54"/>
      <c r="BC12" s="47"/>
      <c r="BD12" s="47"/>
      <c r="BE12" s="47"/>
      <c r="BF12" s="48"/>
      <c r="BG12" s="55"/>
      <c r="BH12" s="47"/>
      <c r="BI12" s="47"/>
      <c r="BJ12" s="47"/>
      <c r="BK12" s="56"/>
    </row>
    <row r="13" ht="21.0" customHeight="1">
      <c r="A13" s="43"/>
      <c r="B13" s="44" t="s">
        <v>23</v>
      </c>
      <c r="C13" s="44" t="s">
        <v>190</v>
      </c>
      <c r="D13" s="45">
        <v>45084.0</v>
      </c>
      <c r="E13" s="45">
        <v>45086.0</v>
      </c>
      <c r="F13" s="44" t="s">
        <v>32</v>
      </c>
      <c r="G13" s="44" t="s">
        <v>26</v>
      </c>
      <c r="H13" s="57" t="s">
        <v>21</v>
      </c>
      <c r="I13" s="50"/>
      <c r="J13" s="47"/>
      <c r="K13" s="47"/>
      <c r="L13" s="47"/>
      <c r="M13" s="48"/>
      <c r="N13" s="61"/>
      <c r="O13" s="47"/>
      <c r="P13" s="47"/>
      <c r="Q13" s="47"/>
      <c r="R13" s="48"/>
      <c r="S13" s="91"/>
      <c r="T13" s="47"/>
      <c r="U13" s="47"/>
      <c r="V13" s="47"/>
      <c r="W13" s="48"/>
      <c r="X13" s="100"/>
      <c r="Y13" s="47"/>
      <c r="Z13" s="47"/>
      <c r="AA13" s="47"/>
      <c r="AB13" s="48"/>
      <c r="AC13" s="106">
        <v>1594.97</v>
      </c>
      <c r="AD13" s="47"/>
      <c r="AE13" s="47"/>
      <c r="AF13" s="47"/>
      <c r="AG13" s="48"/>
      <c r="AH13" s="82">
        <v>1665.7</v>
      </c>
      <c r="AI13" s="47"/>
      <c r="AJ13" s="47"/>
      <c r="AK13" s="47"/>
      <c r="AL13" s="48"/>
      <c r="AM13" s="91"/>
      <c r="AN13" s="47"/>
      <c r="AO13" s="47"/>
      <c r="AP13" s="47"/>
      <c r="AQ13" s="48"/>
      <c r="AR13" s="51"/>
      <c r="AS13" s="47"/>
      <c r="AT13" s="47"/>
      <c r="AU13" s="47"/>
      <c r="AV13" s="48"/>
      <c r="AW13" s="53"/>
      <c r="AX13" s="47"/>
      <c r="AY13" s="47"/>
      <c r="AZ13" s="47"/>
      <c r="BA13" s="48"/>
      <c r="BB13" s="54"/>
      <c r="BC13" s="47"/>
      <c r="BD13" s="47"/>
      <c r="BE13" s="47"/>
      <c r="BF13" s="48"/>
      <c r="BG13" s="55"/>
      <c r="BH13" s="47"/>
      <c r="BI13" s="47"/>
      <c r="BJ13" s="47"/>
      <c r="BK13" s="56"/>
    </row>
    <row r="14" ht="21.0" customHeight="1">
      <c r="A14" s="43"/>
      <c r="B14" s="44" t="s">
        <v>17</v>
      </c>
      <c r="C14" s="44" t="s">
        <v>197</v>
      </c>
      <c r="D14" s="102">
        <v>45103.0</v>
      </c>
      <c r="E14" s="45">
        <v>45107.0</v>
      </c>
      <c r="F14" s="44" t="s">
        <v>32</v>
      </c>
      <c r="G14" s="44" t="s">
        <v>26</v>
      </c>
      <c r="H14" s="57" t="s">
        <v>21</v>
      </c>
      <c r="I14" s="50"/>
      <c r="J14" s="47"/>
      <c r="K14" s="47"/>
      <c r="L14" s="47"/>
      <c r="M14" s="48"/>
      <c r="N14" s="61"/>
      <c r="O14" s="47"/>
      <c r="P14" s="47"/>
      <c r="Q14" s="47"/>
      <c r="R14" s="48"/>
      <c r="S14" s="91"/>
      <c r="T14" s="47"/>
      <c r="U14" s="47"/>
      <c r="V14" s="47"/>
      <c r="W14" s="48"/>
      <c r="X14" s="100"/>
      <c r="Y14" s="47"/>
      <c r="Z14" s="47"/>
      <c r="AA14" s="47"/>
      <c r="AB14" s="48"/>
      <c r="AC14" s="106">
        <v>1821.75</v>
      </c>
      <c r="AD14" s="47"/>
      <c r="AE14" s="47"/>
      <c r="AF14" s="47"/>
      <c r="AG14" s="48"/>
      <c r="AH14" s="82" t="s">
        <v>56</v>
      </c>
      <c r="AI14" s="47"/>
      <c r="AJ14" s="47"/>
      <c r="AK14" s="47"/>
      <c r="AL14" s="48"/>
      <c r="AM14" s="91"/>
      <c r="AN14" s="47"/>
      <c r="AO14" s="47"/>
      <c r="AP14" s="47"/>
      <c r="AQ14" s="48"/>
      <c r="AR14" s="51"/>
      <c r="AS14" s="47"/>
      <c r="AT14" s="47"/>
      <c r="AU14" s="47"/>
      <c r="AV14" s="48"/>
      <c r="AW14" s="53"/>
      <c r="AX14" s="47"/>
      <c r="AY14" s="47"/>
      <c r="AZ14" s="47"/>
      <c r="BA14" s="48"/>
      <c r="BB14" s="54"/>
      <c r="BC14" s="47"/>
      <c r="BD14" s="47"/>
      <c r="BE14" s="47"/>
      <c r="BF14" s="48"/>
      <c r="BG14" s="55"/>
      <c r="BH14" s="47"/>
      <c r="BI14" s="47"/>
      <c r="BJ14" s="47"/>
      <c r="BK14" s="56"/>
    </row>
    <row r="15" ht="21.0" customHeight="1">
      <c r="A15" s="43"/>
      <c r="B15" s="44" t="s">
        <v>23</v>
      </c>
      <c r="C15" s="44" t="s">
        <v>202</v>
      </c>
      <c r="D15" s="45">
        <v>45124.0</v>
      </c>
      <c r="E15" s="45">
        <v>45127.0</v>
      </c>
      <c r="F15" s="44" t="s">
        <v>30</v>
      </c>
      <c r="G15" s="44" t="s">
        <v>26</v>
      </c>
      <c r="H15" s="57" t="s">
        <v>21</v>
      </c>
      <c r="I15" s="50"/>
      <c r="J15" s="47"/>
      <c r="K15" s="47"/>
      <c r="L15" s="47"/>
      <c r="M15" s="48"/>
      <c r="N15" s="61"/>
      <c r="O15" s="47"/>
      <c r="P15" s="47"/>
      <c r="Q15" s="47"/>
      <c r="R15" s="48"/>
      <c r="S15" s="91"/>
      <c r="T15" s="47"/>
      <c r="U15" s="47"/>
      <c r="V15" s="47"/>
      <c r="W15" s="48"/>
      <c r="X15" s="100"/>
      <c r="Y15" s="47"/>
      <c r="Z15" s="47"/>
      <c r="AA15" s="47"/>
      <c r="AB15" s="48"/>
      <c r="AC15" s="91"/>
      <c r="AD15" s="47"/>
      <c r="AE15" s="47"/>
      <c r="AF15" s="47"/>
      <c r="AG15" s="48"/>
      <c r="AH15" s="52"/>
      <c r="AI15" s="47"/>
      <c r="AJ15" s="47"/>
      <c r="AK15" s="47"/>
      <c r="AL15" s="48"/>
      <c r="AM15" s="106">
        <v>1110.47</v>
      </c>
      <c r="AN15" s="47"/>
      <c r="AO15" s="47"/>
      <c r="AP15" s="47"/>
      <c r="AQ15" s="48"/>
      <c r="AR15" s="82">
        <v>1123.75</v>
      </c>
      <c r="AS15" s="47"/>
      <c r="AT15" s="47"/>
      <c r="AU15" s="47"/>
      <c r="AV15" s="48"/>
      <c r="AW15" s="53"/>
      <c r="AX15" s="47"/>
      <c r="AY15" s="47"/>
      <c r="AZ15" s="47"/>
      <c r="BA15" s="48"/>
      <c r="BB15" s="54"/>
      <c r="BC15" s="47"/>
      <c r="BD15" s="47"/>
      <c r="BE15" s="47"/>
      <c r="BF15" s="48"/>
      <c r="BG15" s="55"/>
      <c r="BH15" s="47"/>
      <c r="BI15" s="47"/>
      <c r="BJ15" s="47"/>
      <c r="BK15" s="56"/>
    </row>
    <row r="16" ht="21.0" customHeight="1">
      <c r="A16" s="43"/>
      <c r="B16" s="44" t="s">
        <v>93</v>
      </c>
      <c r="C16" s="44" t="s">
        <v>202</v>
      </c>
      <c r="D16" s="45">
        <v>45124.0</v>
      </c>
      <c r="E16" s="45">
        <v>45127.0</v>
      </c>
      <c r="F16" s="44" t="s">
        <v>30</v>
      </c>
      <c r="G16" s="44" t="s">
        <v>26</v>
      </c>
      <c r="H16" s="57" t="s">
        <v>21</v>
      </c>
      <c r="I16" s="50"/>
      <c r="J16" s="47"/>
      <c r="K16" s="47"/>
      <c r="L16" s="47"/>
      <c r="M16" s="48"/>
      <c r="N16" s="61"/>
      <c r="O16" s="47"/>
      <c r="P16" s="47"/>
      <c r="Q16" s="47"/>
      <c r="R16" s="48"/>
      <c r="S16" s="91"/>
      <c r="T16" s="47"/>
      <c r="U16" s="47"/>
      <c r="V16" s="47"/>
      <c r="W16" s="48"/>
      <c r="X16" s="100"/>
      <c r="Y16" s="47"/>
      <c r="Z16" s="47"/>
      <c r="AA16" s="47"/>
      <c r="AB16" s="48"/>
      <c r="AC16" s="91"/>
      <c r="AD16" s="47"/>
      <c r="AE16" s="47"/>
      <c r="AF16" s="47"/>
      <c r="AG16" s="48"/>
      <c r="AH16" s="52"/>
      <c r="AI16" s="47"/>
      <c r="AJ16" s="47"/>
      <c r="AK16" s="47"/>
      <c r="AL16" s="48"/>
      <c r="AM16" s="106">
        <v>1271.22</v>
      </c>
      <c r="AN16" s="47"/>
      <c r="AO16" s="47"/>
      <c r="AP16" s="47"/>
      <c r="AQ16" s="48"/>
      <c r="AR16" s="82">
        <v>1252.28</v>
      </c>
      <c r="AS16" s="47"/>
      <c r="AT16" s="47"/>
      <c r="AU16" s="47"/>
      <c r="AV16" s="48"/>
      <c r="AW16" s="53"/>
      <c r="AX16" s="47"/>
      <c r="AY16" s="47"/>
      <c r="AZ16" s="47"/>
      <c r="BA16" s="48"/>
      <c r="BB16" s="54"/>
      <c r="BC16" s="47"/>
      <c r="BD16" s="47"/>
      <c r="BE16" s="47"/>
      <c r="BF16" s="48"/>
      <c r="BG16" s="55"/>
      <c r="BH16" s="47"/>
      <c r="BI16" s="47"/>
      <c r="BJ16" s="47"/>
      <c r="BK16" s="56"/>
    </row>
    <row r="17" ht="21.0" customHeight="1">
      <c r="A17" s="43"/>
      <c r="B17" s="44" t="s">
        <v>23</v>
      </c>
      <c r="C17" s="44" t="s">
        <v>190</v>
      </c>
      <c r="D17" s="45">
        <v>45131.0</v>
      </c>
      <c r="E17" s="45">
        <v>45135.0</v>
      </c>
      <c r="F17" s="44" t="s">
        <v>32</v>
      </c>
      <c r="G17" s="44" t="s">
        <v>26</v>
      </c>
      <c r="H17" s="57" t="s">
        <v>21</v>
      </c>
      <c r="I17" s="50"/>
      <c r="J17" s="47"/>
      <c r="K17" s="47"/>
      <c r="L17" s="47"/>
      <c r="M17" s="48"/>
      <c r="N17" s="61"/>
      <c r="O17" s="47"/>
      <c r="P17" s="47"/>
      <c r="Q17" s="47"/>
      <c r="R17" s="48"/>
      <c r="S17" s="91"/>
      <c r="T17" s="47"/>
      <c r="U17" s="47"/>
      <c r="V17" s="47"/>
      <c r="W17" s="48"/>
      <c r="X17" s="100"/>
      <c r="Y17" s="47"/>
      <c r="Z17" s="47"/>
      <c r="AA17" s="47"/>
      <c r="AB17" s="48"/>
      <c r="AC17" s="91"/>
      <c r="AD17" s="47"/>
      <c r="AE17" s="47"/>
      <c r="AF17" s="47"/>
      <c r="AG17" s="48"/>
      <c r="AH17" s="52"/>
      <c r="AI17" s="47"/>
      <c r="AJ17" s="47"/>
      <c r="AK17" s="47"/>
      <c r="AL17" s="48"/>
      <c r="AM17" s="106">
        <v>1850.62</v>
      </c>
      <c r="AN17" s="47"/>
      <c r="AO17" s="47"/>
      <c r="AP17" s="47"/>
      <c r="AQ17" s="48"/>
      <c r="AR17" s="82">
        <v>2157.8</v>
      </c>
      <c r="AS17" s="47"/>
      <c r="AT17" s="47"/>
      <c r="AU17" s="47"/>
      <c r="AV17" s="48"/>
      <c r="AW17" s="53"/>
      <c r="AX17" s="47"/>
      <c r="AY17" s="47"/>
      <c r="AZ17" s="47"/>
      <c r="BA17" s="48"/>
      <c r="BB17" s="54"/>
      <c r="BC17" s="47"/>
      <c r="BD17" s="47"/>
      <c r="BE17" s="47"/>
      <c r="BF17" s="48"/>
      <c r="BG17" s="55"/>
      <c r="BH17" s="47"/>
      <c r="BI17" s="47"/>
      <c r="BJ17" s="47"/>
      <c r="BK17" s="56"/>
    </row>
    <row r="18" ht="21.0" customHeight="1">
      <c r="A18" s="43"/>
      <c r="B18" s="44" t="s">
        <v>17</v>
      </c>
      <c r="C18" s="44" t="s">
        <v>190</v>
      </c>
      <c r="D18" s="45">
        <v>45131.0</v>
      </c>
      <c r="E18" s="45">
        <v>45135.0</v>
      </c>
      <c r="F18" s="44" t="s">
        <v>32</v>
      </c>
      <c r="G18" s="44" t="s">
        <v>26</v>
      </c>
      <c r="H18" s="57" t="s">
        <v>21</v>
      </c>
      <c r="I18" s="50"/>
      <c r="J18" s="47"/>
      <c r="K18" s="47"/>
      <c r="L18" s="47"/>
      <c r="M18" s="48"/>
      <c r="N18" s="61"/>
      <c r="O18" s="47"/>
      <c r="P18" s="47"/>
      <c r="Q18" s="47"/>
      <c r="R18" s="48"/>
      <c r="S18" s="91"/>
      <c r="T18" s="47"/>
      <c r="U18" s="47"/>
      <c r="V18" s="47"/>
      <c r="W18" s="48"/>
      <c r="X18" s="100"/>
      <c r="Y18" s="47"/>
      <c r="Z18" s="47"/>
      <c r="AA18" s="47"/>
      <c r="AB18" s="48"/>
      <c r="AC18" s="91"/>
      <c r="AD18" s="47"/>
      <c r="AE18" s="47"/>
      <c r="AF18" s="47"/>
      <c r="AG18" s="48"/>
      <c r="AH18" s="52"/>
      <c r="AI18" s="47"/>
      <c r="AJ18" s="47"/>
      <c r="AK18" s="47"/>
      <c r="AL18" s="48"/>
      <c r="AM18" s="106">
        <v>1886.27</v>
      </c>
      <c r="AN18" s="47"/>
      <c r="AO18" s="47"/>
      <c r="AP18" s="47"/>
      <c r="AQ18" s="48"/>
      <c r="AR18" s="82">
        <v>2461.88</v>
      </c>
      <c r="AS18" s="47"/>
      <c r="AT18" s="47"/>
      <c r="AU18" s="47"/>
      <c r="AV18" s="48"/>
      <c r="AW18" s="53"/>
      <c r="AX18" s="47"/>
      <c r="AY18" s="47"/>
      <c r="AZ18" s="47"/>
      <c r="BA18" s="48"/>
      <c r="BB18" s="54"/>
      <c r="BC18" s="47"/>
      <c r="BD18" s="47"/>
      <c r="BE18" s="47"/>
      <c r="BF18" s="48"/>
      <c r="BG18" s="55"/>
      <c r="BH18" s="47"/>
      <c r="BI18" s="47"/>
      <c r="BJ18" s="47"/>
      <c r="BK18" s="56"/>
    </row>
    <row r="19" ht="21.0" customHeight="1">
      <c r="A19" s="43"/>
      <c r="B19" s="44" t="s">
        <v>23</v>
      </c>
      <c r="C19" s="44" t="s">
        <v>190</v>
      </c>
      <c r="D19" s="45">
        <v>45138.0</v>
      </c>
      <c r="E19" s="45">
        <v>45141.0</v>
      </c>
      <c r="F19" s="44" t="s">
        <v>180</v>
      </c>
      <c r="G19" s="44" t="s">
        <v>26</v>
      </c>
      <c r="H19" s="57" t="s">
        <v>21</v>
      </c>
      <c r="I19" s="50"/>
      <c r="J19" s="47"/>
      <c r="K19" s="47"/>
      <c r="L19" s="47"/>
      <c r="M19" s="48"/>
      <c r="N19" s="61"/>
      <c r="O19" s="47"/>
      <c r="P19" s="47"/>
      <c r="Q19" s="47"/>
      <c r="R19" s="48"/>
      <c r="S19" s="91"/>
      <c r="T19" s="47"/>
      <c r="U19" s="47"/>
      <c r="V19" s="47"/>
      <c r="W19" s="48"/>
      <c r="X19" s="100"/>
      <c r="Y19" s="47"/>
      <c r="Z19" s="47"/>
      <c r="AA19" s="47"/>
      <c r="AB19" s="48"/>
      <c r="AC19" s="91"/>
      <c r="AD19" s="47"/>
      <c r="AE19" s="47"/>
      <c r="AF19" s="47"/>
      <c r="AG19" s="48"/>
      <c r="AH19" s="52"/>
      <c r="AI19" s="47"/>
      <c r="AJ19" s="47"/>
      <c r="AK19" s="47"/>
      <c r="AL19" s="48"/>
      <c r="AM19" s="106">
        <v>909.97</v>
      </c>
      <c r="AN19" s="47"/>
      <c r="AO19" s="47"/>
      <c r="AP19" s="47"/>
      <c r="AQ19" s="48"/>
      <c r="AR19" s="82">
        <v>1026.17</v>
      </c>
      <c r="AS19" s="47"/>
      <c r="AT19" s="47"/>
      <c r="AU19" s="47"/>
      <c r="AV19" s="48"/>
      <c r="AW19" s="53"/>
      <c r="AX19" s="47"/>
      <c r="AY19" s="47"/>
      <c r="AZ19" s="47"/>
      <c r="BA19" s="48"/>
      <c r="BB19" s="54"/>
      <c r="BC19" s="47"/>
      <c r="BD19" s="47"/>
      <c r="BE19" s="47"/>
      <c r="BF19" s="48"/>
      <c r="BG19" s="55"/>
      <c r="BH19" s="47"/>
      <c r="BI19" s="47"/>
      <c r="BJ19" s="47"/>
      <c r="BK19" s="56"/>
    </row>
    <row r="20" ht="21.0" customHeight="1">
      <c r="A20" s="43"/>
      <c r="B20" s="44" t="s">
        <v>17</v>
      </c>
      <c r="C20" s="44" t="s">
        <v>35</v>
      </c>
      <c r="D20" s="45">
        <v>45165.0</v>
      </c>
      <c r="E20" s="45">
        <v>45170.0</v>
      </c>
      <c r="F20" s="44" t="s">
        <v>32</v>
      </c>
      <c r="G20" s="44" t="s">
        <v>26</v>
      </c>
      <c r="H20" s="57" t="s">
        <v>21</v>
      </c>
      <c r="I20" s="50"/>
      <c r="J20" s="47"/>
      <c r="K20" s="47"/>
      <c r="L20" s="47"/>
      <c r="M20" s="48"/>
      <c r="N20" s="61"/>
      <c r="O20" s="47"/>
      <c r="P20" s="47"/>
      <c r="Q20" s="47"/>
      <c r="R20" s="48"/>
      <c r="S20" s="91"/>
      <c r="T20" s="47"/>
      <c r="U20" s="47"/>
      <c r="V20" s="47"/>
      <c r="W20" s="48"/>
      <c r="X20" s="100"/>
      <c r="Y20" s="47"/>
      <c r="Z20" s="47"/>
      <c r="AA20" s="47"/>
      <c r="AB20" s="48"/>
      <c r="AC20" s="91"/>
      <c r="AD20" s="47"/>
      <c r="AE20" s="47"/>
      <c r="AF20" s="47"/>
      <c r="AG20" s="48"/>
      <c r="AH20" s="52"/>
      <c r="AI20" s="47"/>
      <c r="AJ20" s="47"/>
      <c r="AK20" s="47"/>
      <c r="AL20" s="48"/>
      <c r="AM20" s="106">
        <v>2297.27</v>
      </c>
      <c r="AN20" s="47"/>
      <c r="AO20" s="47"/>
      <c r="AP20" s="47"/>
      <c r="AQ20" s="48"/>
      <c r="AR20" s="82">
        <v>2391.25</v>
      </c>
      <c r="AS20" s="47"/>
      <c r="AT20" s="47"/>
      <c r="AU20" s="47"/>
      <c r="AV20" s="48"/>
      <c r="AW20" s="53"/>
      <c r="AX20" s="47"/>
      <c r="AY20" s="47"/>
      <c r="AZ20" s="47"/>
      <c r="BA20" s="48"/>
      <c r="BB20" s="54"/>
      <c r="BC20" s="47"/>
      <c r="BD20" s="47"/>
      <c r="BE20" s="47"/>
      <c r="BF20" s="48"/>
      <c r="BG20" s="55"/>
      <c r="BH20" s="47"/>
      <c r="BI20" s="47"/>
      <c r="BJ20" s="47"/>
      <c r="BK20" s="56"/>
    </row>
    <row r="21" ht="21.0" customHeight="1">
      <c r="A21" s="43"/>
      <c r="B21" s="44" t="s">
        <v>93</v>
      </c>
      <c r="C21" s="44" t="s">
        <v>217</v>
      </c>
      <c r="D21" s="45">
        <v>45139.0</v>
      </c>
      <c r="E21" s="45">
        <v>45141.0</v>
      </c>
      <c r="F21" s="44" t="s">
        <v>180</v>
      </c>
      <c r="G21" s="44" t="s">
        <v>26</v>
      </c>
      <c r="H21" s="57" t="s">
        <v>60</v>
      </c>
      <c r="I21" s="50"/>
      <c r="J21" s="47"/>
      <c r="K21" s="47"/>
      <c r="L21" s="47"/>
      <c r="M21" s="48"/>
      <c r="N21" s="61"/>
      <c r="O21" s="47"/>
      <c r="P21" s="47"/>
      <c r="Q21" s="47"/>
      <c r="R21" s="48"/>
      <c r="S21" s="50"/>
      <c r="T21" s="47"/>
      <c r="U21" s="47"/>
      <c r="V21" s="47"/>
      <c r="W21" s="48"/>
      <c r="X21" s="100"/>
      <c r="Y21" s="47"/>
      <c r="Z21" s="47"/>
      <c r="AA21" s="47"/>
      <c r="AB21" s="48"/>
      <c r="AC21" s="50"/>
      <c r="AD21" s="47"/>
      <c r="AE21" s="47"/>
      <c r="AF21" s="47"/>
      <c r="AG21" s="48"/>
      <c r="AH21" s="52"/>
      <c r="AI21" s="47"/>
      <c r="AJ21" s="47"/>
      <c r="AK21" s="47"/>
      <c r="AL21" s="48"/>
      <c r="AM21" s="46" t="s">
        <v>56</v>
      </c>
      <c r="AN21" s="47"/>
      <c r="AO21" s="47"/>
      <c r="AP21" s="47"/>
      <c r="AQ21" s="48"/>
      <c r="AR21" s="82">
        <v>99.68</v>
      </c>
      <c r="AS21" s="47"/>
      <c r="AT21" s="47"/>
      <c r="AU21" s="47"/>
      <c r="AV21" s="48"/>
      <c r="AW21" s="53"/>
      <c r="AX21" s="47"/>
      <c r="AY21" s="47"/>
      <c r="AZ21" s="47"/>
      <c r="BA21" s="48"/>
      <c r="BB21" s="54"/>
      <c r="BC21" s="47"/>
      <c r="BD21" s="47"/>
      <c r="BE21" s="47"/>
      <c r="BF21" s="48"/>
      <c r="BG21" s="55"/>
      <c r="BH21" s="47"/>
      <c r="BI21" s="47"/>
      <c r="BJ21" s="47"/>
      <c r="BK21" s="56"/>
    </row>
    <row r="22" ht="21.0" customHeight="1">
      <c r="A22" s="43"/>
      <c r="B22" s="44"/>
      <c r="C22" s="44"/>
      <c r="D22" s="45"/>
      <c r="E22" s="45"/>
      <c r="F22" s="44"/>
      <c r="G22" s="44"/>
      <c r="H22" s="57"/>
      <c r="I22" s="50"/>
      <c r="J22" s="47"/>
      <c r="K22" s="47"/>
      <c r="L22" s="47"/>
      <c r="M22" s="48"/>
      <c r="N22" s="61"/>
      <c r="O22" s="47"/>
      <c r="P22" s="47"/>
      <c r="Q22" s="47"/>
      <c r="R22" s="48"/>
      <c r="S22" s="50"/>
      <c r="T22" s="47"/>
      <c r="U22" s="47"/>
      <c r="V22" s="47"/>
      <c r="W22" s="48"/>
      <c r="X22" s="100"/>
      <c r="Y22" s="47"/>
      <c r="Z22" s="47"/>
      <c r="AA22" s="47"/>
      <c r="AB22" s="48"/>
      <c r="AC22" s="50"/>
      <c r="AD22" s="47"/>
      <c r="AE22" s="47"/>
      <c r="AF22" s="47"/>
      <c r="AG22" s="48"/>
      <c r="AH22" s="52"/>
      <c r="AI22" s="47"/>
      <c r="AJ22" s="47"/>
      <c r="AK22" s="47"/>
      <c r="AL22" s="48"/>
      <c r="AM22" s="46"/>
      <c r="AN22" s="47"/>
      <c r="AO22" s="47"/>
      <c r="AP22" s="47"/>
      <c r="AQ22" s="48"/>
      <c r="AR22" s="131"/>
      <c r="AS22" s="47"/>
      <c r="AT22" s="47"/>
      <c r="AU22" s="47"/>
      <c r="AV22" s="48"/>
      <c r="AW22" s="53"/>
      <c r="AX22" s="47"/>
      <c r="AY22" s="47"/>
      <c r="AZ22" s="47"/>
      <c r="BA22" s="48"/>
      <c r="BB22" s="116"/>
      <c r="BF22" s="117"/>
      <c r="BG22" s="116"/>
      <c r="BK22" s="118"/>
    </row>
    <row r="23" ht="21.0" customHeight="1">
      <c r="A23" s="33"/>
      <c r="B23" s="124" t="s">
        <v>223</v>
      </c>
      <c r="C23" s="124" t="s">
        <v>12</v>
      </c>
      <c r="D23" s="125" t="s">
        <v>13</v>
      </c>
      <c r="E23" s="36"/>
      <c r="F23" s="124" t="s">
        <v>14</v>
      </c>
      <c r="G23" s="124" t="s">
        <v>15</v>
      </c>
      <c r="H23" s="124" t="s">
        <v>16</v>
      </c>
      <c r="I23" s="126"/>
      <c r="J23" s="36"/>
      <c r="K23" s="36"/>
      <c r="L23" s="36"/>
      <c r="M23" s="36"/>
      <c r="N23" s="127"/>
      <c r="O23" s="36"/>
      <c r="P23" s="36"/>
      <c r="Q23" s="36"/>
      <c r="R23" s="36"/>
      <c r="S23" s="126"/>
      <c r="T23" s="36"/>
      <c r="U23" s="36"/>
      <c r="V23" s="36"/>
      <c r="W23" s="36"/>
      <c r="X23" s="127"/>
      <c r="Y23" s="36"/>
      <c r="Z23" s="36"/>
      <c r="AA23" s="36"/>
      <c r="AB23" s="36"/>
      <c r="AC23" s="127"/>
      <c r="AD23" s="36"/>
      <c r="AE23" s="36"/>
      <c r="AF23" s="36"/>
      <c r="AG23" s="36"/>
      <c r="AH23" s="127"/>
      <c r="AI23" s="36"/>
      <c r="AJ23" s="36"/>
      <c r="AK23" s="36"/>
      <c r="AL23" s="36"/>
      <c r="AM23" s="127"/>
      <c r="AN23" s="36"/>
      <c r="AO23" s="36"/>
      <c r="AP23" s="36"/>
      <c r="AQ23" s="36"/>
      <c r="AR23" s="127"/>
      <c r="AS23" s="36"/>
      <c r="AT23" s="36"/>
      <c r="AU23" s="36"/>
      <c r="AV23" s="36"/>
      <c r="AW23" s="128"/>
      <c r="AX23" s="36"/>
      <c r="AY23" s="36"/>
      <c r="AZ23" s="36"/>
      <c r="BA23" s="36"/>
      <c r="BB23" s="129"/>
      <c r="BC23" s="36"/>
      <c r="BD23" s="36"/>
      <c r="BE23" s="36"/>
      <c r="BF23" s="36"/>
      <c r="BG23" s="129"/>
      <c r="BH23" s="36"/>
      <c r="BI23" s="36"/>
      <c r="BJ23" s="36"/>
      <c r="BK23" s="42"/>
    </row>
    <row r="24" ht="21.0" customHeight="1">
      <c r="A24" s="43"/>
      <c r="B24" s="44" t="s">
        <v>138</v>
      </c>
      <c r="C24" s="44" t="s">
        <v>29</v>
      </c>
      <c r="D24" s="45">
        <v>44872.0</v>
      </c>
      <c r="E24" s="45">
        <v>44875.0</v>
      </c>
      <c r="F24" s="44" t="s">
        <v>30</v>
      </c>
      <c r="G24" s="44" t="s">
        <v>26</v>
      </c>
      <c r="H24" s="44" t="s">
        <v>21</v>
      </c>
      <c r="I24" s="46">
        <v>1291.87</v>
      </c>
      <c r="J24" s="47"/>
      <c r="K24" s="47"/>
      <c r="L24" s="47"/>
      <c r="M24" s="48"/>
      <c r="N24" s="82">
        <v>1481.54</v>
      </c>
      <c r="O24" s="47"/>
      <c r="P24" s="47"/>
      <c r="Q24" s="47"/>
      <c r="R24" s="48"/>
      <c r="S24" s="50"/>
      <c r="T24" s="47"/>
      <c r="U24" s="47"/>
      <c r="V24" s="47"/>
      <c r="W24" s="48"/>
      <c r="X24" s="51"/>
      <c r="Y24" s="47"/>
      <c r="Z24" s="47"/>
      <c r="AA24" s="47"/>
      <c r="AB24" s="48"/>
      <c r="AC24" s="91"/>
      <c r="AD24" s="47"/>
      <c r="AE24" s="47"/>
      <c r="AF24" s="47"/>
      <c r="AG24" s="48"/>
      <c r="AH24" s="52"/>
      <c r="AI24" s="47"/>
      <c r="AJ24" s="47"/>
      <c r="AK24" s="47"/>
      <c r="AL24" s="48"/>
      <c r="AM24" s="50"/>
      <c r="AN24" s="47"/>
      <c r="AO24" s="47"/>
      <c r="AP24" s="47"/>
      <c r="AQ24" s="48"/>
      <c r="AR24" s="51"/>
      <c r="AS24" s="47"/>
      <c r="AT24" s="47"/>
      <c r="AU24" s="47"/>
      <c r="AV24" s="48"/>
      <c r="AW24" s="53" t="s">
        <v>223</v>
      </c>
      <c r="AX24" s="47"/>
      <c r="AY24" s="47"/>
      <c r="AZ24" s="47"/>
      <c r="BA24" s="48"/>
      <c r="BB24" s="54">
        <f>SUM(N24:R37)</f>
        <v>1481.54</v>
      </c>
      <c r="BC24" s="47"/>
      <c r="BD24" s="47"/>
      <c r="BE24" s="47"/>
      <c r="BF24" s="48"/>
      <c r="BG24" s="55" t="s">
        <v>22</v>
      </c>
      <c r="BH24" s="47"/>
      <c r="BI24" s="47"/>
      <c r="BJ24" s="47"/>
      <c r="BK24" s="56"/>
    </row>
    <row r="25" ht="21.0" customHeight="1">
      <c r="A25" s="43"/>
      <c r="B25" s="44" t="s">
        <v>138</v>
      </c>
      <c r="C25" s="44" t="s">
        <v>196</v>
      </c>
      <c r="D25" s="45">
        <v>44969.0</v>
      </c>
      <c r="E25" s="45">
        <v>44974.0</v>
      </c>
      <c r="F25" s="44" t="s">
        <v>30</v>
      </c>
      <c r="G25" s="44" t="s">
        <v>59</v>
      </c>
      <c r="H25" s="44" t="s">
        <v>27</v>
      </c>
      <c r="I25" s="50"/>
      <c r="J25" s="47"/>
      <c r="K25" s="47"/>
      <c r="L25" s="47"/>
      <c r="M25" s="48"/>
      <c r="N25" s="61"/>
      <c r="O25" s="47"/>
      <c r="P25" s="47"/>
      <c r="Q25" s="47"/>
      <c r="R25" s="48"/>
      <c r="S25" s="46">
        <v>2028.32</v>
      </c>
      <c r="T25" s="47"/>
      <c r="U25" s="47"/>
      <c r="V25" s="47"/>
      <c r="W25" s="48"/>
      <c r="X25" s="82">
        <v>1707.94</v>
      </c>
      <c r="Y25" s="47"/>
      <c r="Z25" s="47"/>
      <c r="AA25" s="47"/>
      <c r="AB25" s="48"/>
      <c r="AC25" s="50"/>
      <c r="AD25" s="47"/>
      <c r="AE25" s="47"/>
      <c r="AF25" s="47"/>
      <c r="AG25" s="48"/>
      <c r="AH25" s="51"/>
      <c r="AI25" s="47"/>
      <c r="AJ25" s="47"/>
      <c r="AK25" s="47"/>
      <c r="AL25" s="48"/>
      <c r="AM25" s="50"/>
      <c r="AN25" s="47"/>
      <c r="AO25" s="47"/>
      <c r="AP25" s="47"/>
      <c r="AQ25" s="48"/>
      <c r="AR25" s="52"/>
      <c r="AS25" s="47"/>
      <c r="AT25" s="47"/>
      <c r="AU25" s="47"/>
      <c r="AV25" s="48"/>
      <c r="AW25" s="53"/>
      <c r="AX25" s="47"/>
      <c r="AY25" s="47"/>
      <c r="AZ25" s="47"/>
      <c r="BA25" s="48"/>
      <c r="BB25" s="54">
        <f>SUM(X24:AB37)</f>
        <v>2906.01</v>
      </c>
      <c r="BC25" s="47"/>
      <c r="BD25" s="47"/>
      <c r="BE25" s="47"/>
      <c r="BF25" s="48"/>
      <c r="BG25" s="55" t="s">
        <v>3</v>
      </c>
      <c r="BH25" s="47"/>
      <c r="BI25" s="47"/>
      <c r="BJ25" s="47"/>
      <c r="BK25" s="56"/>
    </row>
    <row r="26" ht="21.0" customHeight="1">
      <c r="A26" s="43"/>
      <c r="B26" s="44" t="s">
        <v>220</v>
      </c>
      <c r="C26" s="44" t="s">
        <v>221</v>
      </c>
      <c r="D26" s="45">
        <v>44978.0</v>
      </c>
      <c r="E26" s="45">
        <v>44981.0</v>
      </c>
      <c r="F26" s="44" t="s">
        <v>222</v>
      </c>
      <c r="G26" s="44" t="s">
        <v>59</v>
      </c>
      <c r="H26" s="44" t="s">
        <v>27</v>
      </c>
      <c r="I26" s="50"/>
      <c r="J26" s="47"/>
      <c r="K26" s="47"/>
      <c r="L26" s="47"/>
      <c r="M26" s="48"/>
      <c r="N26" s="61"/>
      <c r="O26" s="47"/>
      <c r="P26" s="47"/>
      <c r="Q26" s="47"/>
      <c r="R26" s="48"/>
      <c r="S26" s="46">
        <v>1137.07</v>
      </c>
      <c r="T26" s="47"/>
      <c r="U26" s="47"/>
      <c r="V26" s="47"/>
      <c r="W26" s="48"/>
      <c r="X26" s="82">
        <v>1144.59</v>
      </c>
      <c r="Y26" s="47"/>
      <c r="Z26" s="47"/>
      <c r="AA26" s="47"/>
      <c r="AB26" s="48"/>
      <c r="AC26" s="50"/>
      <c r="AD26" s="47"/>
      <c r="AE26" s="47"/>
      <c r="AF26" s="47"/>
      <c r="AG26" s="48"/>
      <c r="AH26" s="51"/>
      <c r="AI26" s="47"/>
      <c r="AJ26" s="47"/>
      <c r="AK26" s="47"/>
      <c r="AL26" s="48"/>
      <c r="AM26" s="50"/>
      <c r="AN26" s="47"/>
      <c r="AO26" s="47"/>
      <c r="AP26" s="47"/>
      <c r="AQ26" s="48"/>
      <c r="AR26" s="52"/>
      <c r="AS26" s="47"/>
      <c r="AT26" s="47"/>
      <c r="AU26" s="47"/>
      <c r="AV26" s="48"/>
      <c r="AW26" s="53"/>
      <c r="AX26" s="47"/>
      <c r="AY26" s="47"/>
      <c r="AZ26" s="47"/>
      <c r="BA26" s="48"/>
      <c r="BB26" s="54">
        <f>SUM(AH24:AL37)</f>
        <v>4253.58</v>
      </c>
      <c r="BC26" s="47"/>
      <c r="BD26" s="47"/>
      <c r="BE26" s="47"/>
      <c r="BF26" s="48"/>
      <c r="BG26" s="55" t="s">
        <v>4</v>
      </c>
      <c r="BH26" s="47"/>
      <c r="BI26" s="47"/>
      <c r="BJ26" s="47"/>
      <c r="BK26" s="56"/>
    </row>
    <row r="27" ht="21.0" customHeight="1">
      <c r="A27" s="43"/>
      <c r="B27" s="44" t="s">
        <v>225</v>
      </c>
      <c r="C27" s="44" t="s">
        <v>196</v>
      </c>
      <c r="D27" s="45">
        <v>44970.0</v>
      </c>
      <c r="E27" s="45">
        <v>44970.0</v>
      </c>
      <c r="F27" s="44" t="s">
        <v>30</v>
      </c>
      <c r="G27" s="44" t="s">
        <v>59</v>
      </c>
      <c r="H27" s="44" t="s">
        <v>60</v>
      </c>
      <c r="I27" s="50"/>
      <c r="J27" s="47"/>
      <c r="K27" s="47"/>
      <c r="L27" s="47"/>
      <c r="M27" s="48"/>
      <c r="N27" s="61"/>
      <c r="O27" s="47"/>
      <c r="P27" s="47"/>
      <c r="Q27" s="47"/>
      <c r="R27" s="48"/>
      <c r="S27" s="46" t="s">
        <v>56</v>
      </c>
      <c r="T27" s="47"/>
      <c r="U27" s="47"/>
      <c r="V27" s="47"/>
      <c r="W27" s="48"/>
      <c r="X27" s="82">
        <v>53.48</v>
      </c>
      <c r="Y27" s="47"/>
      <c r="Z27" s="47"/>
      <c r="AA27" s="47"/>
      <c r="AB27" s="48"/>
      <c r="AC27" s="50"/>
      <c r="AD27" s="47"/>
      <c r="AE27" s="47"/>
      <c r="AF27" s="47"/>
      <c r="AG27" s="48"/>
      <c r="AH27" s="51"/>
      <c r="AI27" s="47"/>
      <c r="AJ27" s="47"/>
      <c r="AK27" s="47"/>
      <c r="AL27" s="48"/>
      <c r="AM27" s="50"/>
      <c r="AN27" s="47"/>
      <c r="AO27" s="47"/>
      <c r="AP27" s="47"/>
      <c r="AQ27" s="48"/>
      <c r="AR27" s="52"/>
      <c r="AS27" s="47"/>
      <c r="AT27" s="47"/>
      <c r="AU27" s="47"/>
      <c r="AV27" s="48"/>
      <c r="AW27" s="53"/>
      <c r="AX27" s="47"/>
      <c r="AY27" s="47"/>
      <c r="AZ27" s="47"/>
      <c r="BA27" s="48"/>
      <c r="BB27" s="54">
        <f>SUM(AR24:AV37)</f>
        <v>5826.73</v>
      </c>
      <c r="BC27" s="47"/>
      <c r="BD27" s="47"/>
      <c r="BE27" s="47"/>
      <c r="BF27" s="48"/>
      <c r="BG27" s="55" t="s">
        <v>5</v>
      </c>
      <c r="BH27" s="47"/>
      <c r="BI27" s="47"/>
      <c r="BJ27" s="47"/>
      <c r="BK27" s="56"/>
    </row>
    <row r="28" ht="21.0" customHeight="1">
      <c r="A28" s="43"/>
      <c r="B28" s="44" t="s">
        <v>230</v>
      </c>
      <c r="C28" s="44" t="s">
        <v>231</v>
      </c>
      <c r="D28" s="45">
        <v>45026.0</v>
      </c>
      <c r="E28" s="45">
        <v>45031.0</v>
      </c>
      <c r="F28" s="44" t="s">
        <v>30</v>
      </c>
      <c r="G28" s="44" t="s">
        <v>59</v>
      </c>
      <c r="H28" s="44" t="s">
        <v>27</v>
      </c>
      <c r="I28" s="132"/>
      <c r="J28" s="47"/>
      <c r="K28" s="47"/>
      <c r="L28" s="47"/>
      <c r="M28" s="48"/>
      <c r="N28" s="61"/>
      <c r="O28" s="47"/>
      <c r="P28" s="47"/>
      <c r="Q28" s="47"/>
      <c r="R28" s="48"/>
      <c r="S28" s="50"/>
      <c r="T28" s="47"/>
      <c r="U28" s="47"/>
      <c r="V28" s="47"/>
      <c r="W28" s="48"/>
      <c r="X28" s="52"/>
      <c r="Y28" s="47"/>
      <c r="Z28" s="47"/>
      <c r="AA28" s="47"/>
      <c r="AB28" s="48"/>
      <c r="AC28" s="46">
        <v>2340.22</v>
      </c>
      <c r="AD28" s="47"/>
      <c r="AE28" s="47"/>
      <c r="AF28" s="47"/>
      <c r="AG28" s="48"/>
      <c r="AH28" s="82">
        <v>1959.12</v>
      </c>
      <c r="AI28" s="47"/>
      <c r="AJ28" s="47"/>
      <c r="AK28" s="47"/>
      <c r="AL28" s="48"/>
      <c r="AM28" s="50"/>
      <c r="AN28" s="47"/>
      <c r="AO28" s="47"/>
      <c r="AP28" s="47"/>
      <c r="AQ28" s="48"/>
      <c r="AR28" s="52"/>
      <c r="AS28" s="47"/>
      <c r="AT28" s="47"/>
      <c r="AU28" s="47"/>
      <c r="AV28" s="48"/>
      <c r="AW28" s="53"/>
      <c r="AX28" s="47"/>
      <c r="AY28" s="47"/>
      <c r="AZ28" s="47"/>
      <c r="BA28" s="48"/>
      <c r="BB28" s="59"/>
      <c r="BC28" s="47"/>
      <c r="BD28" s="47"/>
      <c r="BE28" s="47"/>
      <c r="BF28" s="48"/>
      <c r="BG28" s="59"/>
      <c r="BH28" s="47"/>
      <c r="BI28" s="47"/>
      <c r="BJ28" s="47"/>
      <c r="BK28" s="56"/>
    </row>
    <row r="29" ht="21.0" customHeight="1">
      <c r="A29" s="43"/>
      <c r="B29" s="44" t="s">
        <v>235</v>
      </c>
      <c r="C29" s="44" t="s">
        <v>231</v>
      </c>
      <c r="D29" s="45">
        <v>45021.0</v>
      </c>
      <c r="E29" s="45">
        <v>45030.0</v>
      </c>
      <c r="F29" s="44" t="s">
        <v>30</v>
      </c>
      <c r="G29" s="44" t="s">
        <v>59</v>
      </c>
      <c r="H29" s="44" t="s">
        <v>27</v>
      </c>
      <c r="I29" s="132"/>
      <c r="J29" s="47"/>
      <c r="K29" s="47"/>
      <c r="L29" s="47"/>
      <c r="M29" s="48"/>
      <c r="N29" s="61"/>
      <c r="O29" s="47"/>
      <c r="P29" s="47"/>
      <c r="Q29" s="47"/>
      <c r="R29" s="48"/>
      <c r="S29" s="50"/>
      <c r="T29" s="47"/>
      <c r="U29" s="47"/>
      <c r="V29" s="47"/>
      <c r="W29" s="48"/>
      <c r="X29" s="52"/>
      <c r="Y29" s="47"/>
      <c r="Z29" s="47"/>
      <c r="AA29" s="47"/>
      <c r="AB29" s="48"/>
      <c r="AC29" s="46">
        <v>1510.47</v>
      </c>
      <c r="AD29" s="47"/>
      <c r="AE29" s="47"/>
      <c r="AF29" s="47"/>
      <c r="AG29" s="48"/>
      <c r="AH29" s="82">
        <v>1875.08</v>
      </c>
      <c r="AI29" s="47"/>
      <c r="AJ29" s="47"/>
      <c r="AK29" s="47"/>
      <c r="AL29" s="48"/>
      <c r="AM29" s="50"/>
      <c r="AN29" s="47"/>
      <c r="AO29" s="47"/>
      <c r="AP29" s="47"/>
      <c r="AQ29" s="48"/>
      <c r="AR29" s="52"/>
      <c r="AS29" s="47"/>
      <c r="AT29" s="47"/>
      <c r="AU29" s="47"/>
      <c r="AV29" s="56"/>
      <c r="AW29" s="53"/>
      <c r="AX29" s="47"/>
      <c r="AY29" s="47"/>
      <c r="AZ29" s="47"/>
      <c r="BA29" s="48"/>
      <c r="BB29" s="59"/>
      <c r="BC29" s="47"/>
      <c r="BD29" s="47"/>
      <c r="BE29" s="47"/>
      <c r="BF29" s="48"/>
      <c r="BG29" s="59"/>
      <c r="BH29" s="47"/>
      <c r="BI29" s="47"/>
      <c r="BJ29" s="47"/>
      <c r="BK29" s="56"/>
    </row>
    <row r="30" ht="21.0" customHeight="1">
      <c r="A30" s="43"/>
      <c r="B30" s="44" t="s">
        <v>225</v>
      </c>
      <c r="C30" s="44" t="s">
        <v>238</v>
      </c>
      <c r="D30" s="45">
        <v>45027.0</v>
      </c>
      <c r="E30" s="45">
        <v>45030.0</v>
      </c>
      <c r="F30" s="44" t="s">
        <v>30</v>
      </c>
      <c r="G30" s="44" t="s">
        <v>59</v>
      </c>
      <c r="H30" s="44" t="s">
        <v>60</v>
      </c>
      <c r="I30" s="132"/>
      <c r="J30" s="47"/>
      <c r="K30" s="47"/>
      <c r="L30" s="47"/>
      <c r="M30" s="48"/>
      <c r="N30" s="61"/>
      <c r="O30" s="47"/>
      <c r="P30" s="47"/>
      <c r="Q30" s="47"/>
      <c r="R30" s="48"/>
      <c r="S30" s="50"/>
      <c r="T30" s="47"/>
      <c r="U30" s="47"/>
      <c r="V30" s="47"/>
      <c r="W30" s="48"/>
      <c r="X30" s="52"/>
      <c r="Y30" s="47"/>
      <c r="Z30" s="47"/>
      <c r="AA30" s="47"/>
      <c r="AB30" s="48"/>
      <c r="AC30" s="46" t="s">
        <v>56</v>
      </c>
      <c r="AD30" s="47"/>
      <c r="AE30" s="47"/>
      <c r="AF30" s="47"/>
      <c r="AG30" s="48"/>
      <c r="AH30" s="82">
        <v>281.58</v>
      </c>
      <c r="AI30" s="47"/>
      <c r="AJ30" s="47"/>
      <c r="AK30" s="47"/>
      <c r="AL30" s="48"/>
      <c r="AM30" s="91"/>
      <c r="AN30" s="47"/>
      <c r="AO30" s="47"/>
      <c r="AP30" s="47"/>
      <c r="AQ30" s="48"/>
      <c r="AR30" s="51"/>
      <c r="AS30" s="47"/>
      <c r="AT30" s="47"/>
      <c r="AU30" s="47"/>
      <c r="AV30" s="56"/>
      <c r="AW30" s="53"/>
      <c r="AX30" s="47"/>
      <c r="AY30" s="47"/>
      <c r="AZ30" s="47"/>
      <c r="BA30" s="48"/>
      <c r="BB30" s="59"/>
      <c r="BC30" s="47"/>
      <c r="BD30" s="47"/>
      <c r="BE30" s="47"/>
      <c r="BF30" s="48"/>
      <c r="BG30" s="59"/>
      <c r="BH30" s="47"/>
      <c r="BI30" s="47"/>
      <c r="BJ30" s="47"/>
      <c r="BK30" s="56"/>
    </row>
    <row r="31" ht="21.0" customHeight="1">
      <c r="A31" s="43"/>
      <c r="B31" s="44" t="s">
        <v>230</v>
      </c>
      <c r="C31" s="44" t="s">
        <v>240</v>
      </c>
      <c r="D31" s="45">
        <v>45033.0</v>
      </c>
      <c r="E31" s="45">
        <v>45037.0</v>
      </c>
      <c r="F31" s="44" t="s">
        <v>241</v>
      </c>
      <c r="G31" s="44" t="s">
        <v>195</v>
      </c>
      <c r="H31" s="44" t="s">
        <v>60</v>
      </c>
      <c r="I31" s="132"/>
      <c r="J31" s="47"/>
      <c r="K31" s="47"/>
      <c r="L31" s="47"/>
      <c r="M31" s="48"/>
      <c r="N31" s="61"/>
      <c r="O31" s="47"/>
      <c r="P31" s="47"/>
      <c r="Q31" s="47"/>
      <c r="R31" s="48"/>
      <c r="S31" s="50"/>
      <c r="T31" s="47"/>
      <c r="U31" s="47"/>
      <c r="V31" s="47"/>
      <c r="W31" s="48"/>
      <c r="X31" s="52"/>
      <c r="Y31" s="47"/>
      <c r="Z31" s="47"/>
      <c r="AA31" s="47"/>
      <c r="AB31" s="48"/>
      <c r="AC31" s="46" t="s">
        <v>56</v>
      </c>
      <c r="AD31" s="47"/>
      <c r="AE31" s="47"/>
      <c r="AF31" s="47"/>
      <c r="AG31" s="48"/>
      <c r="AH31" s="82">
        <v>137.8</v>
      </c>
      <c r="AI31" s="47"/>
      <c r="AJ31" s="47"/>
      <c r="AK31" s="47"/>
      <c r="AL31" s="48"/>
      <c r="AM31" s="91"/>
      <c r="AN31" s="47"/>
      <c r="AO31" s="47"/>
      <c r="AP31" s="47"/>
      <c r="AQ31" s="48"/>
      <c r="AR31" s="51"/>
      <c r="AS31" s="47"/>
      <c r="AT31" s="47"/>
      <c r="AU31" s="47"/>
      <c r="AV31" s="56"/>
      <c r="AW31" s="53"/>
      <c r="AX31" s="47"/>
      <c r="AY31" s="47"/>
      <c r="AZ31" s="47"/>
      <c r="BA31" s="48"/>
      <c r="BB31" s="59"/>
      <c r="BC31" s="47"/>
      <c r="BD31" s="47"/>
      <c r="BE31" s="47"/>
      <c r="BF31" s="48"/>
      <c r="BG31" s="59"/>
      <c r="BH31" s="47"/>
      <c r="BI31" s="47"/>
      <c r="BJ31" s="47"/>
      <c r="BK31" s="56"/>
    </row>
    <row r="32" ht="21.0" customHeight="1">
      <c r="A32" s="43"/>
      <c r="B32" s="44" t="s">
        <v>138</v>
      </c>
      <c r="C32" s="44" t="s">
        <v>243</v>
      </c>
      <c r="D32" s="45">
        <v>45124.0</v>
      </c>
      <c r="E32" s="45">
        <v>45127.0</v>
      </c>
      <c r="F32" s="44" t="s">
        <v>30</v>
      </c>
      <c r="G32" s="44" t="s">
        <v>26</v>
      </c>
      <c r="H32" s="44" t="s">
        <v>21</v>
      </c>
      <c r="I32" s="132"/>
      <c r="J32" s="47"/>
      <c r="K32" s="47"/>
      <c r="L32" s="47"/>
      <c r="M32" s="48"/>
      <c r="N32" s="61"/>
      <c r="O32" s="47"/>
      <c r="P32" s="47"/>
      <c r="Q32" s="47"/>
      <c r="R32" s="48"/>
      <c r="S32" s="50"/>
      <c r="T32" s="47"/>
      <c r="U32" s="47"/>
      <c r="V32" s="47"/>
      <c r="W32" s="48"/>
      <c r="X32" s="52"/>
      <c r="Y32" s="47"/>
      <c r="Z32" s="47"/>
      <c r="AA32" s="47"/>
      <c r="AB32" s="48"/>
      <c r="AC32" s="50"/>
      <c r="AD32" s="47"/>
      <c r="AE32" s="47"/>
      <c r="AF32" s="47"/>
      <c r="AG32" s="48"/>
      <c r="AH32" s="52"/>
      <c r="AI32" s="47"/>
      <c r="AJ32" s="47"/>
      <c r="AK32" s="47"/>
      <c r="AL32" s="48"/>
      <c r="AM32" s="106">
        <v>1423.77</v>
      </c>
      <c r="AN32" s="47"/>
      <c r="AO32" s="47"/>
      <c r="AP32" s="47"/>
      <c r="AQ32" s="48"/>
      <c r="AR32" s="82">
        <v>1339.49</v>
      </c>
      <c r="AS32" s="47"/>
      <c r="AT32" s="47"/>
      <c r="AU32" s="47"/>
      <c r="AV32" s="48"/>
      <c r="AW32" s="53"/>
      <c r="AX32" s="47"/>
      <c r="AY32" s="47"/>
      <c r="AZ32" s="47"/>
      <c r="BA32" s="48"/>
      <c r="BB32" s="59"/>
      <c r="BC32" s="47"/>
      <c r="BD32" s="47"/>
      <c r="BE32" s="47"/>
      <c r="BF32" s="48"/>
      <c r="BG32" s="59"/>
      <c r="BH32" s="47"/>
      <c r="BI32" s="47"/>
      <c r="BJ32" s="47"/>
      <c r="BK32" s="56"/>
    </row>
    <row r="33" ht="21.0" customHeight="1">
      <c r="A33" s="43"/>
      <c r="B33" s="44" t="s">
        <v>138</v>
      </c>
      <c r="C33" s="44" t="s">
        <v>246</v>
      </c>
      <c r="D33" s="45">
        <v>45161.0</v>
      </c>
      <c r="E33" s="45">
        <v>45163.0</v>
      </c>
      <c r="F33" s="44" t="s">
        <v>247</v>
      </c>
      <c r="G33" s="44" t="s">
        <v>59</v>
      </c>
      <c r="H33" s="44" t="s">
        <v>27</v>
      </c>
      <c r="I33" s="132"/>
      <c r="J33" s="47"/>
      <c r="K33" s="47"/>
      <c r="L33" s="47"/>
      <c r="M33" s="48"/>
      <c r="N33" s="61"/>
      <c r="O33" s="47"/>
      <c r="P33" s="47"/>
      <c r="Q33" s="47"/>
      <c r="R33" s="48"/>
      <c r="S33" s="50"/>
      <c r="T33" s="47"/>
      <c r="U33" s="47"/>
      <c r="V33" s="47"/>
      <c r="W33" s="48"/>
      <c r="X33" s="52"/>
      <c r="Y33" s="47"/>
      <c r="Z33" s="47"/>
      <c r="AA33" s="47"/>
      <c r="AB33" s="48"/>
      <c r="AC33" s="50"/>
      <c r="AD33" s="47"/>
      <c r="AE33" s="47"/>
      <c r="AF33" s="47"/>
      <c r="AG33" s="48"/>
      <c r="AH33" s="52"/>
      <c r="AI33" s="47"/>
      <c r="AJ33" s="47"/>
      <c r="AK33" s="47"/>
      <c r="AL33" s="48"/>
      <c r="AM33" s="106">
        <v>1230.8</v>
      </c>
      <c r="AN33" s="47"/>
      <c r="AO33" s="47"/>
      <c r="AP33" s="47"/>
      <c r="AQ33" s="48"/>
      <c r="AR33" s="82">
        <v>1217.1</v>
      </c>
      <c r="AS33" s="47"/>
      <c r="AT33" s="47"/>
      <c r="AU33" s="47"/>
      <c r="AV33" s="48"/>
      <c r="AW33" s="53"/>
      <c r="AX33" s="47"/>
      <c r="AY33" s="47"/>
      <c r="AZ33" s="47"/>
      <c r="BA33" s="48"/>
      <c r="BB33" s="59"/>
      <c r="BC33" s="47"/>
      <c r="BD33" s="47"/>
      <c r="BE33" s="47"/>
      <c r="BF33" s="48"/>
      <c r="BG33" s="59"/>
      <c r="BH33" s="47"/>
      <c r="BI33" s="47"/>
      <c r="BJ33" s="47"/>
      <c r="BK33" s="56"/>
    </row>
    <row r="34" ht="21.0" customHeight="1">
      <c r="A34" s="43"/>
      <c r="B34" s="44" t="s">
        <v>225</v>
      </c>
      <c r="C34" s="44" t="s">
        <v>246</v>
      </c>
      <c r="D34" s="45">
        <v>45161.0</v>
      </c>
      <c r="E34" s="45">
        <v>45163.0</v>
      </c>
      <c r="F34" s="44" t="s">
        <v>247</v>
      </c>
      <c r="G34" s="44" t="s">
        <v>59</v>
      </c>
      <c r="H34" s="44" t="s">
        <v>27</v>
      </c>
      <c r="I34" s="60"/>
      <c r="J34" s="47"/>
      <c r="K34" s="47"/>
      <c r="L34" s="47"/>
      <c r="M34" s="48"/>
      <c r="N34" s="61"/>
      <c r="O34" s="47"/>
      <c r="P34" s="47"/>
      <c r="Q34" s="47"/>
      <c r="R34" s="48"/>
      <c r="S34" s="50"/>
      <c r="T34" s="47"/>
      <c r="U34" s="47"/>
      <c r="V34" s="47"/>
      <c r="W34" s="48"/>
      <c r="X34" s="51"/>
      <c r="Y34" s="47"/>
      <c r="Z34" s="47"/>
      <c r="AA34" s="47"/>
      <c r="AB34" s="48"/>
      <c r="AC34" s="50"/>
      <c r="AD34" s="47"/>
      <c r="AE34" s="47"/>
      <c r="AF34" s="47"/>
      <c r="AG34" s="48"/>
      <c r="AH34" s="52"/>
      <c r="AI34" s="47"/>
      <c r="AJ34" s="47"/>
      <c r="AK34" s="47"/>
      <c r="AL34" s="48"/>
      <c r="AM34" s="106">
        <v>1193.25</v>
      </c>
      <c r="AN34" s="47"/>
      <c r="AO34" s="47"/>
      <c r="AP34" s="47"/>
      <c r="AQ34" s="48"/>
      <c r="AR34" s="82">
        <v>1180.82</v>
      </c>
      <c r="AS34" s="47"/>
      <c r="AT34" s="47"/>
      <c r="AU34" s="47"/>
      <c r="AV34" s="48"/>
      <c r="AW34" s="53"/>
      <c r="AX34" s="47"/>
      <c r="AY34" s="47"/>
      <c r="AZ34" s="47"/>
      <c r="BA34" s="48"/>
      <c r="BB34" s="59"/>
      <c r="BC34" s="47"/>
      <c r="BD34" s="47"/>
      <c r="BE34" s="47"/>
      <c r="BF34" s="48"/>
      <c r="BG34" s="59"/>
      <c r="BH34" s="47"/>
      <c r="BI34" s="47"/>
      <c r="BJ34" s="47"/>
      <c r="BK34" s="56"/>
    </row>
    <row r="35" ht="21.0" customHeight="1">
      <c r="A35" s="43"/>
      <c r="B35" s="44" t="s">
        <v>235</v>
      </c>
      <c r="C35" s="44" t="s">
        <v>246</v>
      </c>
      <c r="D35" s="45">
        <v>45161.0</v>
      </c>
      <c r="E35" s="45">
        <v>45162.0</v>
      </c>
      <c r="F35" s="44" t="s">
        <v>247</v>
      </c>
      <c r="G35" s="44" t="s">
        <v>59</v>
      </c>
      <c r="H35" s="44" t="s">
        <v>27</v>
      </c>
      <c r="I35" s="60"/>
      <c r="J35" s="47"/>
      <c r="K35" s="47"/>
      <c r="L35" s="47"/>
      <c r="M35" s="48"/>
      <c r="N35" s="61"/>
      <c r="O35" s="47"/>
      <c r="P35" s="47"/>
      <c r="Q35" s="47"/>
      <c r="R35" s="48"/>
      <c r="S35" s="50"/>
      <c r="T35" s="47"/>
      <c r="U35" s="47"/>
      <c r="V35" s="47"/>
      <c r="W35" s="48"/>
      <c r="X35" s="51"/>
      <c r="Y35" s="47"/>
      <c r="Z35" s="47"/>
      <c r="AA35" s="47"/>
      <c r="AB35" s="48"/>
      <c r="AC35" s="50"/>
      <c r="AD35" s="47"/>
      <c r="AE35" s="47"/>
      <c r="AF35" s="47"/>
      <c r="AG35" s="48"/>
      <c r="AH35" s="52"/>
      <c r="AI35" s="47"/>
      <c r="AJ35" s="47"/>
      <c r="AK35" s="47"/>
      <c r="AL35" s="48"/>
      <c r="AM35" s="106">
        <v>540.3</v>
      </c>
      <c r="AN35" s="47"/>
      <c r="AO35" s="47"/>
      <c r="AP35" s="47"/>
      <c r="AQ35" s="48"/>
      <c r="AR35" s="82">
        <v>559.79</v>
      </c>
      <c r="AS35" s="47"/>
      <c r="AT35" s="47"/>
      <c r="AU35" s="47"/>
      <c r="AV35" s="48"/>
      <c r="AW35" s="53"/>
      <c r="AX35" s="47"/>
      <c r="AY35" s="47"/>
      <c r="AZ35" s="47"/>
      <c r="BA35" s="48"/>
      <c r="BB35" s="59"/>
      <c r="BC35" s="47"/>
      <c r="BD35" s="47"/>
      <c r="BE35" s="47"/>
      <c r="BF35" s="48"/>
      <c r="BG35" s="59"/>
      <c r="BH35" s="47"/>
      <c r="BI35" s="47"/>
      <c r="BJ35" s="47"/>
      <c r="BK35" s="56"/>
    </row>
    <row r="36" ht="21.0" customHeight="1">
      <c r="A36" s="43"/>
      <c r="B36" s="44" t="s">
        <v>254</v>
      </c>
      <c r="C36" s="44" t="s">
        <v>246</v>
      </c>
      <c r="D36" s="45">
        <v>45161.0</v>
      </c>
      <c r="E36" s="45">
        <v>45163.0</v>
      </c>
      <c r="F36" s="44" t="s">
        <v>247</v>
      </c>
      <c r="G36" s="44" t="s">
        <v>59</v>
      </c>
      <c r="H36" s="44" t="s">
        <v>27</v>
      </c>
      <c r="I36" s="60"/>
      <c r="J36" s="47"/>
      <c r="K36" s="47"/>
      <c r="L36" s="47"/>
      <c r="M36" s="48"/>
      <c r="N36" s="61"/>
      <c r="O36" s="47"/>
      <c r="P36" s="47"/>
      <c r="Q36" s="47"/>
      <c r="R36" s="48"/>
      <c r="S36" s="50"/>
      <c r="T36" s="47"/>
      <c r="U36" s="47"/>
      <c r="V36" s="47"/>
      <c r="W36" s="48"/>
      <c r="X36" s="51"/>
      <c r="Y36" s="47"/>
      <c r="Z36" s="47"/>
      <c r="AA36" s="47"/>
      <c r="AB36" s="48"/>
      <c r="AC36" s="50"/>
      <c r="AD36" s="47"/>
      <c r="AE36" s="47"/>
      <c r="AF36" s="47"/>
      <c r="AG36" s="48"/>
      <c r="AH36" s="52"/>
      <c r="AI36" s="47"/>
      <c r="AJ36" s="47"/>
      <c r="AK36" s="47"/>
      <c r="AL36" s="48"/>
      <c r="AM36" s="106">
        <v>1536.65</v>
      </c>
      <c r="AN36" s="47"/>
      <c r="AO36" s="47"/>
      <c r="AP36" s="47"/>
      <c r="AQ36" s="48"/>
      <c r="AR36" s="82">
        <v>1529.53</v>
      </c>
      <c r="AS36" s="47"/>
      <c r="AT36" s="47"/>
      <c r="AU36" s="47"/>
      <c r="AV36" s="48"/>
      <c r="AW36" s="53"/>
      <c r="AX36" s="47"/>
      <c r="AY36" s="47"/>
      <c r="AZ36" s="47"/>
      <c r="BA36" s="48"/>
      <c r="BB36" s="59"/>
      <c r="BC36" s="47"/>
      <c r="BD36" s="47"/>
      <c r="BE36" s="47"/>
      <c r="BF36" s="48"/>
      <c r="BG36" s="59"/>
      <c r="BH36" s="47"/>
      <c r="BI36" s="47"/>
      <c r="BJ36" s="47"/>
      <c r="BK36" s="56"/>
    </row>
    <row r="37" ht="21.0" customHeight="1">
      <c r="A37" s="43"/>
      <c r="B37" s="44"/>
      <c r="C37" s="44"/>
      <c r="D37" s="45"/>
      <c r="E37" s="45"/>
      <c r="F37" s="44"/>
      <c r="G37" s="44"/>
      <c r="H37" s="44"/>
      <c r="I37" s="60"/>
      <c r="J37" s="47"/>
      <c r="K37" s="47"/>
      <c r="L37" s="47"/>
      <c r="M37" s="48"/>
      <c r="N37" s="61"/>
      <c r="O37" s="47"/>
      <c r="P37" s="47"/>
      <c r="Q37" s="47"/>
      <c r="R37" s="48"/>
      <c r="S37" s="50"/>
      <c r="T37" s="47"/>
      <c r="U37" s="47"/>
      <c r="V37" s="47"/>
      <c r="W37" s="48"/>
      <c r="X37" s="51"/>
      <c r="Y37" s="47"/>
      <c r="Z37" s="47"/>
      <c r="AA37" s="47"/>
      <c r="AB37" s="48"/>
      <c r="AC37" s="50"/>
      <c r="AD37" s="47"/>
      <c r="AE37" s="47"/>
      <c r="AF37" s="47"/>
      <c r="AG37" s="48"/>
      <c r="AH37" s="52"/>
      <c r="AI37" s="47"/>
      <c r="AJ37" s="47"/>
      <c r="AK37" s="47"/>
      <c r="AL37" s="48"/>
      <c r="AM37" s="106"/>
      <c r="AN37" s="47"/>
      <c r="AO37" s="47"/>
      <c r="AP37" s="47"/>
      <c r="AQ37" s="48"/>
      <c r="AR37" s="131"/>
      <c r="AS37" s="47"/>
      <c r="AT37" s="47"/>
      <c r="AU37" s="47"/>
      <c r="AV37" s="48"/>
      <c r="AW37" s="53"/>
      <c r="AX37" s="47"/>
      <c r="AY37" s="47"/>
      <c r="AZ37" s="47"/>
      <c r="BA37" s="48"/>
      <c r="BB37" s="59"/>
      <c r="BC37" s="47"/>
      <c r="BD37" s="47"/>
      <c r="BE37" s="47"/>
      <c r="BF37" s="48"/>
      <c r="BG37" s="59"/>
      <c r="BH37" s="47"/>
      <c r="BI37" s="47"/>
      <c r="BJ37" s="47"/>
      <c r="BK37" s="56"/>
    </row>
    <row r="38" ht="21.0" customHeight="1">
      <c r="A38" s="33"/>
      <c r="B38" s="124" t="s">
        <v>261</v>
      </c>
      <c r="C38" s="124" t="s">
        <v>12</v>
      </c>
      <c r="D38" s="125" t="s">
        <v>13</v>
      </c>
      <c r="E38" s="36"/>
      <c r="F38" s="124" t="s">
        <v>14</v>
      </c>
      <c r="G38" s="124" t="s">
        <v>15</v>
      </c>
      <c r="H38" s="124" t="s">
        <v>16</v>
      </c>
      <c r="I38" s="126"/>
      <c r="J38" s="36"/>
      <c r="K38" s="36"/>
      <c r="L38" s="36"/>
      <c r="M38" s="36"/>
      <c r="N38" s="127"/>
      <c r="O38" s="36"/>
      <c r="P38" s="36"/>
      <c r="Q38" s="36"/>
      <c r="R38" s="36"/>
      <c r="S38" s="126"/>
      <c r="T38" s="36"/>
      <c r="U38" s="36"/>
      <c r="V38" s="36"/>
      <c r="W38" s="36"/>
      <c r="X38" s="127"/>
      <c r="Y38" s="36"/>
      <c r="Z38" s="36"/>
      <c r="AA38" s="36"/>
      <c r="AB38" s="36"/>
      <c r="AC38" s="127"/>
      <c r="AD38" s="36"/>
      <c r="AE38" s="36"/>
      <c r="AF38" s="36"/>
      <c r="AG38" s="36"/>
      <c r="AH38" s="127"/>
      <c r="AI38" s="36"/>
      <c r="AJ38" s="36"/>
      <c r="AK38" s="36"/>
      <c r="AL38" s="36"/>
      <c r="AM38" s="127"/>
      <c r="AN38" s="36"/>
      <c r="AO38" s="36"/>
      <c r="AP38" s="36"/>
      <c r="AQ38" s="36"/>
      <c r="AR38" s="127"/>
      <c r="AS38" s="36"/>
      <c r="AT38" s="36"/>
      <c r="AU38" s="36"/>
      <c r="AV38" s="36"/>
      <c r="AW38" s="128"/>
      <c r="AX38" s="36"/>
      <c r="AY38" s="36"/>
      <c r="AZ38" s="36"/>
      <c r="BA38" s="36"/>
      <c r="BB38" s="129"/>
      <c r="BC38" s="36"/>
      <c r="BD38" s="36"/>
      <c r="BE38" s="36"/>
      <c r="BF38" s="36"/>
      <c r="BG38" s="129"/>
      <c r="BH38" s="36"/>
      <c r="BI38" s="36"/>
      <c r="BJ38" s="36"/>
      <c r="BK38" s="42"/>
    </row>
    <row r="39" ht="21.0" customHeight="1">
      <c r="A39" s="43"/>
      <c r="B39" s="44" t="s">
        <v>42</v>
      </c>
      <c r="C39" s="44" t="s">
        <v>84</v>
      </c>
      <c r="D39" s="45">
        <v>44846.0</v>
      </c>
      <c r="E39" s="45">
        <v>44848.0</v>
      </c>
      <c r="F39" s="44" t="s">
        <v>85</v>
      </c>
      <c r="G39" s="44" t="s">
        <v>84</v>
      </c>
      <c r="H39" s="44" t="s">
        <v>86</v>
      </c>
      <c r="I39" s="46">
        <v>880.08</v>
      </c>
      <c r="J39" s="47"/>
      <c r="K39" s="47"/>
      <c r="L39" s="47"/>
      <c r="M39" s="48"/>
      <c r="N39" s="82">
        <v>908.59</v>
      </c>
      <c r="O39" s="47"/>
      <c r="P39" s="47"/>
      <c r="Q39" s="47"/>
      <c r="R39" s="48"/>
      <c r="S39" s="50"/>
      <c r="T39" s="47"/>
      <c r="U39" s="47"/>
      <c r="V39" s="47"/>
      <c r="W39" s="48"/>
      <c r="X39" s="61"/>
      <c r="Y39" s="47"/>
      <c r="Z39" s="47"/>
      <c r="AA39" s="47"/>
      <c r="AB39" s="48"/>
      <c r="AC39" s="50"/>
      <c r="AD39" s="47"/>
      <c r="AE39" s="47"/>
      <c r="AF39" s="47"/>
      <c r="AG39" s="48"/>
      <c r="AH39" s="51"/>
      <c r="AI39" s="47"/>
      <c r="AJ39" s="47"/>
      <c r="AK39" s="47"/>
      <c r="AL39" s="48"/>
      <c r="AM39" s="50"/>
      <c r="AN39" s="47"/>
      <c r="AO39" s="47"/>
      <c r="AP39" s="47"/>
      <c r="AQ39" s="48"/>
      <c r="AR39" s="51"/>
      <c r="AS39" s="47"/>
      <c r="AT39" s="47"/>
      <c r="AU39" s="47"/>
      <c r="AV39" s="48"/>
      <c r="AW39" s="53" t="s">
        <v>264</v>
      </c>
      <c r="AX39" s="47"/>
      <c r="AY39" s="47"/>
      <c r="AZ39" s="47"/>
      <c r="BA39" s="48"/>
      <c r="BB39" s="54">
        <f>SUM(N39:R60)</f>
        <v>4688.56</v>
      </c>
      <c r="BC39" s="47"/>
      <c r="BD39" s="47"/>
      <c r="BE39" s="47"/>
      <c r="BF39" s="48"/>
      <c r="BG39" s="55" t="s">
        <v>22</v>
      </c>
      <c r="BH39" s="47"/>
      <c r="BI39" s="47"/>
      <c r="BJ39" s="47"/>
      <c r="BK39" s="56"/>
    </row>
    <row r="40" ht="21.0" customHeight="1">
      <c r="A40" s="43"/>
      <c r="B40" s="44" t="s">
        <v>99</v>
      </c>
      <c r="C40" s="44" t="s">
        <v>100</v>
      </c>
      <c r="D40" s="45">
        <v>44858.0</v>
      </c>
      <c r="E40" s="45">
        <v>44860.0</v>
      </c>
      <c r="F40" s="44" t="s">
        <v>101</v>
      </c>
      <c r="G40" s="44" t="s">
        <v>59</v>
      </c>
      <c r="H40" s="57" t="s">
        <v>27</v>
      </c>
      <c r="I40" s="46">
        <v>1053.63</v>
      </c>
      <c r="J40" s="47"/>
      <c r="K40" s="47"/>
      <c r="L40" s="47"/>
      <c r="M40" s="48"/>
      <c r="N40" s="82">
        <v>1026.56</v>
      </c>
      <c r="O40" s="47"/>
      <c r="P40" s="47"/>
      <c r="Q40" s="47"/>
      <c r="R40" s="48"/>
      <c r="S40" s="50"/>
      <c r="T40" s="47"/>
      <c r="U40" s="47"/>
      <c r="V40" s="47"/>
      <c r="W40" s="48"/>
      <c r="X40" s="61"/>
      <c r="Y40" s="47"/>
      <c r="Z40" s="47"/>
      <c r="AA40" s="47"/>
      <c r="AB40" s="48"/>
      <c r="AC40" s="50"/>
      <c r="AD40" s="47"/>
      <c r="AE40" s="47"/>
      <c r="AF40" s="47"/>
      <c r="AG40" s="48"/>
      <c r="AH40" s="51"/>
      <c r="AI40" s="47"/>
      <c r="AJ40" s="47"/>
      <c r="AK40" s="47"/>
      <c r="AL40" s="48"/>
      <c r="AM40" s="50"/>
      <c r="AN40" s="47"/>
      <c r="AO40" s="47"/>
      <c r="AP40" s="47"/>
      <c r="AQ40" s="48"/>
      <c r="AR40" s="51"/>
      <c r="AS40" s="47"/>
      <c r="AT40" s="47"/>
      <c r="AU40" s="47"/>
      <c r="AV40" s="48"/>
      <c r="AW40" s="53"/>
      <c r="AX40" s="47"/>
      <c r="AY40" s="47"/>
      <c r="AZ40" s="47"/>
      <c r="BA40" s="48"/>
      <c r="BB40" s="54">
        <f>SUM(X39:AB60)</f>
        <v>4413.21</v>
      </c>
      <c r="BC40" s="47"/>
      <c r="BD40" s="47"/>
      <c r="BE40" s="47"/>
      <c r="BF40" s="48"/>
      <c r="BG40" s="55" t="s">
        <v>3</v>
      </c>
      <c r="BH40" s="47"/>
      <c r="BI40" s="47"/>
      <c r="BJ40" s="47"/>
      <c r="BK40" s="56"/>
    </row>
    <row r="41" ht="21.0" customHeight="1">
      <c r="A41" s="43"/>
      <c r="B41" s="44" t="s">
        <v>110</v>
      </c>
      <c r="C41" s="44" t="s">
        <v>100</v>
      </c>
      <c r="D41" s="45">
        <v>44858.0</v>
      </c>
      <c r="E41" s="45">
        <v>44862.0</v>
      </c>
      <c r="F41" s="44" t="s">
        <v>101</v>
      </c>
      <c r="G41" s="44" t="s">
        <v>59</v>
      </c>
      <c r="H41" s="57" t="s">
        <v>27</v>
      </c>
      <c r="I41" s="46">
        <v>1396.38</v>
      </c>
      <c r="J41" s="47"/>
      <c r="K41" s="47"/>
      <c r="L41" s="47"/>
      <c r="M41" s="48"/>
      <c r="N41" s="82">
        <v>1358.46</v>
      </c>
      <c r="O41" s="47"/>
      <c r="P41" s="47"/>
      <c r="Q41" s="47"/>
      <c r="R41" s="48"/>
      <c r="S41" s="50"/>
      <c r="T41" s="47"/>
      <c r="U41" s="47"/>
      <c r="V41" s="47"/>
      <c r="W41" s="48"/>
      <c r="X41" s="51"/>
      <c r="Y41" s="47"/>
      <c r="Z41" s="47"/>
      <c r="AA41" s="47"/>
      <c r="AB41" s="48"/>
      <c r="AC41" s="50"/>
      <c r="AD41" s="47"/>
      <c r="AE41" s="47"/>
      <c r="AF41" s="47"/>
      <c r="AG41" s="48"/>
      <c r="AH41" s="52"/>
      <c r="AI41" s="47"/>
      <c r="AJ41" s="47"/>
      <c r="AK41" s="47"/>
      <c r="AL41" s="48"/>
      <c r="AM41" s="91"/>
      <c r="AN41" s="47"/>
      <c r="AO41" s="47"/>
      <c r="AP41" s="47"/>
      <c r="AQ41" s="48"/>
      <c r="AR41" s="51"/>
      <c r="AS41" s="47"/>
      <c r="AT41" s="47"/>
      <c r="AU41" s="47"/>
      <c r="AV41" s="48"/>
      <c r="AW41" s="53"/>
      <c r="AX41" s="47"/>
      <c r="AY41" s="47"/>
      <c r="AZ41" s="47"/>
      <c r="BA41" s="48"/>
      <c r="BB41" s="54">
        <f>SUM(AH39:AL60)</f>
        <v>2547.72</v>
      </c>
      <c r="BC41" s="47"/>
      <c r="BD41" s="47"/>
      <c r="BE41" s="47"/>
      <c r="BF41" s="48"/>
      <c r="BG41" s="55" t="s">
        <v>4</v>
      </c>
      <c r="BH41" s="47"/>
      <c r="BI41" s="47"/>
      <c r="BJ41" s="47"/>
      <c r="BK41" s="56"/>
    </row>
    <row r="42" ht="21.0" customHeight="1">
      <c r="A42" s="43"/>
      <c r="B42" s="44" t="s">
        <v>99</v>
      </c>
      <c r="C42" s="44" t="s">
        <v>112</v>
      </c>
      <c r="D42" s="45">
        <v>44872.0</v>
      </c>
      <c r="E42" s="45">
        <v>44875.0</v>
      </c>
      <c r="F42" s="44" t="s">
        <v>30</v>
      </c>
      <c r="G42" s="44" t="s">
        <v>26</v>
      </c>
      <c r="H42" s="57" t="s">
        <v>21</v>
      </c>
      <c r="I42" s="46">
        <v>1324.22</v>
      </c>
      <c r="J42" s="47"/>
      <c r="K42" s="47"/>
      <c r="L42" s="47"/>
      <c r="M42" s="48"/>
      <c r="N42" s="82">
        <v>1263.15</v>
      </c>
      <c r="O42" s="47"/>
      <c r="P42" s="47"/>
      <c r="Q42" s="47"/>
      <c r="R42" s="48"/>
      <c r="S42" s="50"/>
      <c r="T42" s="47"/>
      <c r="U42" s="47"/>
      <c r="V42" s="47"/>
      <c r="W42" s="48"/>
      <c r="X42" s="51"/>
      <c r="Y42" s="47"/>
      <c r="Z42" s="47"/>
      <c r="AA42" s="47"/>
      <c r="AB42" s="48"/>
      <c r="AC42" s="50"/>
      <c r="AD42" s="47"/>
      <c r="AE42" s="47"/>
      <c r="AF42" s="47"/>
      <c r="AG42" s="48"/>
      <c r="AH42" s="52"/>
      <c r="AI42" s="47"/>
      <c r="AJ42" s="47"/>
      <c r="AK42" s="47"/>
      <c r="AL42" s="48"/>
      <c r="AM42" s="91"/>
      <c r="AN42" s="47"/>
      <c r="AO42" s="47"/>
      <c r="AP42" s="47"/>
      <c r="AQ42" s="48"/>
      <c r="AR42" s="52"/>
      <c r="AS42" s="47"/>
      <c r="AT42" s="47"/>
      <c r="AU42" s="47"/>
      <c r="AV42" s="48"/>
      <c r="AW42" s="53"/>
      <c r="AX42" s="47"/>
      <c r="AY42" s="47"/>
      <c r="AZ42" s="47"/>
      <c r="BA42" s="48"/>
      <c r="BB42" s="54">
        <f>SUM(AR39:AV60)</f>
        <v>10386.67</v>
      </c>
      <c r="BC42" s="47"/>
      <c r="BD42" s="47"/>
      <c r="BE42" s="47"/>
      <c r="BF42" s="48"/>
      <c r="BG42" s="55" t="s">
        <v>5</v>
      </c>
      <c r="BH42" s="47"/>
      <c r="BI42" s="47"/>
      <c r="BJ42" s="47"/>
      <c r="BK42" s="56"/>
    </row>
    <row r="43" ht="21.0" customHeight="1">
      <c r="A43" s="43"/>
      <c r="B43" s="44" t="s">
        <v>42</v>
      </c>
      <c r="C43" s="44" t="s">
        <v>143</v>
      </c>
      <c r="D43" s="45">
        <v>44858.0</v>
      </c>
      <c r="E43" s="102">
        <v>44862.0</v>
      </c>
      <c r="F43" s="44" t="s">
        <v>30</v>
      </c>
      <c r="G43" s="44" t="s">
        <v>59</v>
      </c>
      <c r="H43" s="44" t="s">
        <v>60</v>
      </c>
      <c r="I43" s="104" t="s">
        <v>56</v>
      </c>
      <c r="J43" s="47"/>
      <c r="K43" s="47"/>
      <c r="L43" s="47"/>
      <c r="M43" s="48"/>
      <c r="N43" s="82">
        <v>131.8</v>
      </c>
      <c r="O43" s="47"/>
      <c r="P43" s="47"/>
      <c r="Q43" s="47"/>
      <c r="R43" s="48"/>
      <c r="S43" s="50"/>
      <c r="T43" s="47"/>
      <c r="U43" s="47"/>
      <c r="V43" s="47"/>
      <c r="W43" s="48"/>
      <c r="X43" s="51"/>
      <c r="Y43" s="47"/>
      <c r="Z43" s="47"/>
      <c r="AA43" s="47"/>
      <c r="AB43" s="48"/>
      <c r="AC43" s="50"/>
      <c r="AD43" s="47"/>
      <c r="AE43" s="47"/>
      <c r="AF43" s="47"/>
      <c r="AG43" s="48"/>
      <c r="AH43" s="52"/>
      <c r="AI43" s="47"/>
      <c r="AJ43" s="47"/>
      <c r="AK43" s="47"/>
      <c r="AL43" s="48"/>
      <c r="AM43" s="91"/>
      <c r="AN43" s="47"/>
      <c r="AO43" s="47"/>
      <c r="AP43" s="47"/>
      <c r="AQ43" s="48"/>
      <c r="AR43" s="52"/>
      <c r="AS43" s="47"/>
      <c r="AT43" s="47"/>
      <c r="AU43" s="47"/>
      <c r="AV43" s="48"/>
      <c r="AW43" s="53"/>
      <c r="AX43" s="47"/>
      <c r="AY43" s="47"/>
      <c r="AZ43" s="47"/>
      <c r="BA43" s="48"/>
      <c r="BB43" s="59"/>
      <c r="BC43" s="47"/>
      <c r="BD43" s="47"/>
      <c r="BE43" s="47"/>
      <c r="BF43" s="48"/>
      <c r="BG43" s="59"/>
      <c r="BH43" s="47"/>
      <c r="BI43" s="47"/>
      <c r="BJ43" s="47"/>
      <c r="BK43" s="56"/>
    </row>
    <row r="44" ht="21.0" customHeight="1">
      <c r="A44" s="43"/>
      <c r="B44" s="44" t="s">
        <v>265</v>
      </c>
      <c r="C44" s="44" t="s">
        <v>145</v>
      </c>
      <c r="D44" s="45">
        <v>44979.0</v>
      </c>
      <c r="E44" s="45">
        <v>44980.0</v>
      </c>
      <c r="F44" s="44" t="s">
        <v>266</v>
      </c>
      <c r="G44" s="44" t="s">
        <v>59</v>
      </c>
      <c r="H44" s="44" t="s">
        <v>27</v>
      </c>
      <c r="I44" s="60"/>
      <c r="J44" s="47"/>
      <c r="K44" s="47"/>
      <c r="L44" s="47"/>
      <c r="M44" s="48"/>
      <c r="N44" s="61"/>
      <c r="O44" s="47"/>
      <c r="P44" s="47"/>
      <c r="Q44" s="47"/>
      <c r="R44" s="48"/>
      <c r="S44" s="46">
        <v>448.47</v>
      </c>
      <c r="T44" s="47"/>
      <c r="U44" s="47"/>
      <c r="V44" s="47"/>
      <c r="W44" s="48"/>
      <c r="X44" s="82">
        <v>637.73</v>
      </c>
      <c r="Y44" s="47"/>
      <c r="Z44" s="47"/>
      <c r="AA44" s="47"/>
      <c r="AB44" s="48"/>
      <c r="AC44" s="50"/>
      <c r="AD44" s="47"/>
      <c r="AE44" s="47"/>
      <c r="AF44" s="47"/>
      <c r="AG44" s="48"/>
      <c r="AH44" s="52"/>
      <c r="AI44" s="47"/>
      <c r="AJ44" s="47"/>
      <c r="AK44" s="47"/>
      <c r="AL44" s="48"/>
      <c r="AM44" s="91"/>
      <c r="AN44" s="47"/>
      <c r="AO44" s="47"/>
      <c r="AP44" s="47"/>
      <c r="AQ44" s="48"/>
      <c r="AR44" s="52"/>
      <c r="AS44" s="47"/>
      <c r="AT44" s="47"/>
      <c r="AU44" s="47"/>
      <c r="AV44" s="48"/>
      <c r="AW44" s="53"/>
      <c r="AX44" s="47"/>
      <c r="AY44" s="47"/>
      <c r="AZ44" s="47"/>
      <c r="BA44" s="48"/>
      <c r="BB44" s="59"/>
      <c r="BC44" s="47"/>
      <c r="BD44" s="47"/>
      <c r="BE44" s="47"/>
      <c r="BF44" s="48"/>
      <c r="BG44" s="59"/>
      <c r="BH44" s="47"/>
      <c r="BI44" s="47"/>
      <c r="BJ44" s="47"/>
      <c r="BK44" s="56"/>
    </row>
    <row r="45" ht="21.0" customHeight="1">
      <c r="A45" s="43"/>
      <c r="B45" s="44" t="s">
        <v>99</v>
      </c>
      <c r="C45" s="44" t="s">
        <v>256</v>
      </c>
      <c r="D45" s="45">
        <v>44992.0</v>
      </c>
      <c r="E45" s="45">
        <v>44995.0</v>
      </c>
      <c r="F45" s="44" t="s">
        <v>137</v>
      </c>
      <c r="G45" s="44" t="s">
        <v>59</v>
      </c>
      <c r="H45" s="44" t="s">
        <v>27</v>
      </c>
      <c r="I45" s="60"/>
      <c r="J45" s="47"/>
      <c r="K45" s="47"/>
      <c r="L45" s="47"/>
      <c r="M45" s="48"/>
      <c r="N45" s="61"/>
      <c r="O45" s="47"/>
      <c r="P45" s="47"/>
      <c r="Q45" s="47"/>
      <c r="R45" s="48"/>
      <c r="S45" s="46">
        <v>1274.91</v>
      </c>
      <c r="T45" s="47"/>
      <c r="U45" s="47"/>
      <c r="V45" s="47"/>
      <c r="W45" s="48"/>
      <c r="X45" s="82">
        <v>1158.19</v>
      </c>
      <c r="Y45" s="47"/>
      <c r="Z45" s="47"/>
      <c r="AA45" s="47"/>
      <c r="AB45" s="48"/>
      <c r="AC45" s="50"/>
      <c r="AD45" s="47"/>
      <c r="AE45" s="47"/>
      <c r="AF45" s="47"/>
      <c r="AG45" s="48"/>
      <c r="AH45" s="52"/>
      <c r="AI45" s="47"/>
      <c r="AJ45" s="47"/>
      <c r="AK45" s="47"/>
      <c r="AL45" s="48"/>
      <c r="AM45" s="91"/>
      <c r="AN45" s="47"/>
      <c r="AO45" s="47"/>
      <c r="AP45" s="47"/>
      <c r="AQ45" s="48"/>
      <c r="AR45" s="52"/>
      <c r="AS45" s="47"/>
      <c r="AT45" s="47"/>
      <c r="AU45" s="47"/>
      <c r="AV45" s="48"/>
      <c r="AW45" s="53"/>
      <c r="AX45" s="47"/>
      <c r="AY45" s="47"/>
      <c r="AZ45" s="47"/>
      <c r="BA45" s="48"/>
      <c r="BB45" s="59"/>
      <c r="BC45" s="47"/>
      <c r="BD45" s="47"/>
      <c r="BE45" s="47"/>
      <c r="BF45" s="48"/>
      <c r="BG45" s="59"/>
      <c r="BH45" s="47"/>
      <c r="BI45" s="47"/>
      <c r="BJ45" s="47"/>
      <c r="BK45" s="56"/>
    </row>
    <row r="46" ht="21.0" customHeight="1">
      <c r="A46" s="43"/>
      <c r="B46" s="44" t="s">
        <v>255</v>
      </c>
      <c r="C46" s="44" t="s">
        <v>256</v>
      </c>
      <c r="D46" s="45">
        <v>44992.0</v>
      </c>
      <c r="E46" s="45">
        <v>44995.0</v>
      </c>
      <c r="F46" s="44" t="s">
        <v>137</v>
      </c>
      <c r="G46" s="44" t="s">
        <v>59</v>
      </c>
      <c r="H46" s="44" t="s">
        <v>27</v>
      </c>
      <c r="I46" s="60"/>
      <c r="J46" s="47"/>
      <c r="K46" s="47"/>
      <c r="L46" s="47"/>
      <c r="M46" s="48"/>
      <c r="N46" s="61"/>
      <c r="O46" s="47"/>
      <c r="P46" s="47"/>
      <c r="Q46" s="47"/>
      <c r="R46" s="48"/>
      <c r="S46" s="46">
        <v>1003.46</v>
      </c>
      <c r="T46" s="47"/>
      <c r="U46" s="47"/>
      <c r="V46" s="47"/>
      <c r="W46" s="48"/>
      <c r="X46" s="82">
        <v>1072.9</v>
      </c>
      <c r="Y46" s="47"/>
      <c r="Z46" s="47"/>
      <c r="AA46" s="47"/>
      <c r="AB46" s="48"/>
      <c r="AC46" s="50"/>
      <c r="AD46" s="47"/>
      <c r="AE46" s="47"/>
      <c r="AF46" s="47"/>
      <c r="AG46" s="48"/>
      <c r="AH46" s="52"/>
      <c r="AI46" s="47"/>
      <c r="AJ46" s="47"/>
      <c r="AK46" s="47"/>
      <c r="AL46" s="48"/>
      <c r="AM46" s="91"/>
      <c r="AN46" s="47"/>
      <c r="AO46" s="47"/>
      <c r="AP46" s="47"/>
      <c r="AQ46" s="48"/>
      <c r="AR46" s="52"/>
      <c r="AS46" s="47"/>
      <c r="AT46" s="47"/>
      <c r="AU46" s="47"/>
      <c r="AV46" s="48"/>
      <c r="AW46" s="53"/>
      <c r="AX46" s="47"/>
      <c r="AY46" s="47"/>
      <c r="AZ46" s="47"/>
      <c r="BA46" s="48"/>
      <c r="BB46" s="59"/>
      <c r="BC46" s="47"/>
      <c r="BD46" s="47"/>
      <c r="BE46" s="47"/>
      <c r="BF46" s="48"/>
      <c r="BG46" s="59"/>
      <c r="BH46" s="47"/>
      <c r="BI46" s="47"/>
      <c r="BJ46" s="47"/>
      <c r="BK46" s="56"/>
    </row>
    <row r="47" ht="21.0" customHeight="1">
      <c r="A47" s="43"/>
      <c r="B47" s="44" t="s">
        <v>220</v>
      </c>
      <c r="C47" s="44" t="s">
        <v>256</v>
      </c>
      <c r="D47" s="45">
        <v>44992.0</v>
      </c>
      <c r="E47" s="45">
        <v>44995.0</v>
      </c>
      <c r="F47" s="44" t="s">
        <v>137</v>
      </c>
      <c r="G47" s="44" t="s">
        <v>59</v>
      </c>
      <c r="H47" s="44" t="s">
        <v>27</v>
      </c>
      <c r="I47" s="60"/>
      <c r="J47" s="47"/>
      <c r="K47" s="47"/>
      <c r="L47" s="47"/>
      <c r="M47" s="48"/>
      <c r="N47" s="61"/>
      <c r="O47" s="47"/>
      <c r="P47" s="47"/>
      <c r="Q47" s="47"/>
      <c r="R47" s="48"/>
      <c r="S47" s="46">
        <v>1652.46</v>
      </c>
      <c r="T47" s="47"/>
      <c r="U47" s="47"/>
      <c r="V47" s="47"/>
      <c r="W47" s="48"/>
      <c r="X47" s="82">
        <v>1466.71</v>
      </c>
      <c r="Y47" s="47"/>
      <c r="Z47" s="47"/>
      <c r="AA47" s="47"/>
      <c r="AB47" s="48"/>
      <c r="AC47" s="50"/>
      <c r="AD47" s="47"/>
      <c r="AE47" s="47"/>
      <c r="AF47" s="47"/>
      <c r="AG47" s="48"/>
      <c r="AH47" s="52"/>
      <c r="AI47" s="47"/>
      <c r="AJ47" s="47"/>
      <c r="AK47" s="47"/>
      <c r="AL47" s="48"/>
      <c r="AM47" s="91"/>
      <c r="AN47" s="47"/>
      <c r="AO47" s="47"/>
      <c r="AP47" s="47"/>
      <c r="AQ47" s="48"/>
      <c r="AR47" s="52"/>
      <c r="AS47" s="47"/>
      <c r="AT47" s="47"/>
      <c r="AU47" s="47"/>
      <c r="AV47" s="48"/>
      <c r="AW47" s="53"/>
      <c r="AX47" s="47"/>
      <c r="AY47" s="47"/>
      <c r="AZ47" s="47"/>
      <c r="BA47" s="48"/>
      <c r="BB47" s="59"/>
      <c r="BC47" s="47"/>
      <c r="BD47" s="47"/>
      <c r="BE47" s="47"/>
      <c r="BF47" s="48"/>
      <c r="BG47" s="59"/>
      <c r="BH47" s="47"/>
      <c r="BI47" s="47"/>
      <c r="BJ47" s="47"/>
      <c r="BK47" s="56"/>
    </row>
    <row r="48" ht="21.0" customHeight="1">
      <c r="A48" s="43"/>
      <c r="B48" s="44" t="s">
        <v>42</v>
      </c>
      <c r="C48" s="44" t="s">
        <v>242</v>
      </c>
      <c r="D48" s="45">
        <v>44980.0</v>
      </c>
      <c r="E48" s="45">
        <v>44980.0</v>
      </c>
      <c r="F48" s="44" t="s">
        <v>30</v>
      </c>
      <c r="G48" s="44" t="s">
        <v>59</v>
      </c>
      <c r="H48" s="44" t="s">
        <v>60</v>
      </c>
      <c r="I48" s="60"/>
      <c r="J48" s="47"/>
      <c r="K48" s="47"/>
      <c r="L48" s="47"/>
      <c r="M48" s="48"/>
      <c r="N48" s="61"/>
      <c r="O48" s="47"/>
      <c r="P48" s="47"/>
      <c r="Q48" s="47"/>
      <c r="R48" s="48"/>
      <c r="S48" s="46" t="s">
        <v>56</v>
      </c>
      <c r="T48" s="47"/>
      <c r="U48" s="47"/>
      <c r="V48" s="47"/>
      <c r="W48" s="48"/>
      <c r="X48" s="82">
        <v>38.84</v>
      </c>
      <c r="Y48" s="47"/>
      <c r="Z48" s="47"/>
      <c r="AA48" s="47"/>
      <c r="AB48" s="48"/>
      <c r="AC48" s="50"/>
      <c r="AD48" s="47"/>
      <c r="AE48" s="47"/>
      <c r="AF48" s="47"/>
      <c r="AG48" s="48"/>
      <c r="AH48" s="52"/>
      <c r="AI48" s="47"/>
      <c r="AJ48" s="47"/>
      <c r="AK48" s="47"/>
      <c r="AL48" s="48"/>
      <c r="AM48" s="91"/>
      <c r="AN48" s="47"/>
      <c r="AO48" s="47"/>
      <c r="AP48" s="47"/>
      <c r="AQ48" s="48"/>
      <c r="AR48" s="52"/>
      <c r="AS48" s="47"/>
      <c r="AT48" s="47"/>
      <c r="AU48" s="47"/>
      <c r="AV48" s="48"/>
      <c r="AW48" s="53"/>
      <c r="AX48" s="47"/>
      <c r="AY48" s="47"/>
      <c r="AZ48" s="47"/>
      <c r="BA48" s="48"/>
      <c r="BB48" s="59"/>
      <c r="BC48" s="47"/>
      <c r="BD48" s="47"/>
      <c r="BE48" s="47"/>
      <c r="BF48" s="48"/>
      <c r="BG48" s="59"/>
      <c r="BH48" s="47"/>
      <c r="BI48" s="47"/>
      <c r="BJ48" s="47"/>
      <c r="BK48" s="56"/>
    </row>
    <row r="49" ht="21.0" customHeight="1">
      <c r="A49" s="43"/>
      <c r="B49" s="44" t="s">
        <v>42</v>
      </c>
      <c r="C49" s="44" t="s">
        <v>244</v>
      </c>
      <c r="D49" s="45">
        <v>44970.0</v>
      </c>
      <c r="E49" s="45">
        <v>44970.0</v>
      </c>
      <c r="F49" s="44" t="s">
        <v>30</v>
      </c>
      <c r="G49" s="44" t="s">
        <v>59</v>
      </c>
      <c r="H49" s="44" t="s">
        <v>60</v>
      </c>
      <c r="I49" s="60"/>
      <c r="J49" s="47"/>
      <c r="K49" s="47"/>
      <c r="L49" s="47"/>
      <c r="M49" s="48"/>
      <c r="N49" s="61"/>
      <c r="O49" s="47"/>
      <c r="P49" s="47"/>
      <c r="Q49" s="47"/>
      <c r="R49" s="48"/>
      <c r="S49" s="46" t="s">
        <v>56</v>
      </c>
      <c r="T49" s="47"/>
      <c r="U49" s="47"/>
      <c r="V49" s="47"/>
      <c r="W49" s="48"/>
      <c r="X49" s="82">
        <v>38.84</v>
      </c>
      <c r="Y49" s="47"/>
      <c r="Z49" s="47"/>
      <c r="AA49" s="47"/>
      <c r="AB49" s="48"/>
      <c r="AC49" s="50"/>
      <c r="AD49" s="47"/>
      <c r="AE49" s="47"/>
      <c r="AF49" s="47"/>
      <c r="AG49" s="48"/>
      <c r="AH49" s="52"/>
      <c r="AI49" s="47"/>
      <c r="AJ49" s="47"/>
      <c r="AK49" s="47"/>
      <c r="AL49" s="48"/>
      <c r="AM49" s="91"/>
      <c r="AN49" s="47"/>
      <c r="AO49" s="47"/>
      <c r="AP49" s="47"/>
      <c r="AQ49" s="48"/>
      <c r="AR49" s="52"/>
      <c r="AS49" s="47"/>
      <c r="AT49" s="47"/>
      <c r="AU49" s="47"/>
      <c r="AV49" s="48"/>
      <c r="AW49" s="53"/>
      <c r="AX49" s="47"/>
      <c r="AY49" s="47"/>
      <c r="AZ49" s="47"/>
      <c r="BA49" s="48"/>
      <c r="BB49" s="59"/>
      <c r="BC49" s="47"/>
      <c r="BD49" s="47"/>
      <c r="BE49" s="47"/>
      <c r="BF49" s="48"/>
      <c r="BG49" s="59"/>
      <c r="BH49" s="47"/>
      <c r="BI49" s="47"/>
      <c r="BJ49" s="47"/>
      <c r="BK49" s="56"/>
    </row>
    <row r="50" ht="21.0" customHeight="1">
      <c r="A50" s="43"/>
      <c r="B50" s="44" t="s">
        <v>99</v>
      </c>
      <c r="C50" s="44" t="s">
        <v>112</v>
      </c>
      <c r="D50" s="45">
        <v>45047.0</v>
      </c>
      <c r="E50" s="45">
        <v>45050.0</v>
      </c>
      <c r="F50" s="44" t="s">
        <v>50</v>
      </c>
      <c r="G50" s="44" t="s">
        <v>26</v>
      </c>
      <c r="H50" s="44" t="s">
        <v>21</v>
      </c>
      <c r="I50" s="60"/>
      <c r="J50" s="47"/>
      <c r="K50" s="47"/>
      <c r="L50" s="47"/>
      <c r="M50" s="48"/>
      <c r="N50" s="61"/>
      <c r="O50" s="47"/>
      <c r="P50" s="47"/>
      <c r="Q50" s="47"/>
      <c r="R50" s="48"/>
      <c r="S50" s="50"/>
      <c r="T50" s="47"/>
      <c r="U50" s="47"/>
      <c r="V50" s="47"/>
      <c r="W50" s="48"/>
      <c r="X50" s="51"/>
      <c r="Y50" s="47"/>
      <c r="Z50" s="47"/>
      <c r="AA50" s="47"/>
      <c r="AB50" s="48"/>
      <c r="AC50" s="46">
        <v>963.27</v>
      </c>
      <c r="AD50" s="47"/>
      <c r="AE50" s="47"/>
      <c r="AF50" s="47"/>
      <c r="AG50" s="48"/>
      <c r="AH50" s="82">
        <v>717.6</v>
      </c>
      <c r="AI50" s="47"/>
      <c r="AJ50" s="47"/>
      <c r="AK50" s="47"/>
      <c r="AL50" s="48"/>
      <c r="AM50" s="91"/>
      <c r="AN50" s="47"/>
      <c r="AO50" s="47"/>
      <c r="AP50" s="47"/>
      <c r="AQ50" s="48"/>
      <c r="AR50" s="52"/>
      <c r="AS50" s="47"/>
      <c r="AT50" s="47"/>
      <c r="AU50" s="47"/>
      <c r="AV50" s="48"/>
      <c r="AW50" s="53"/>
      <c r="AX50" s="47"/>
      <c r="AY50" s="47"/>
      <c r="AZ50" s="47"/>
      <c r="BA50" s="48"/>
      <c r="BB50" s="59"/>
      <c r="BC50" s="47"/>
      <c r="BD50" s="47"/>
      <c r="BE50" s="47"/>
      <c r="BF50" s="48"/>
      <c r="BG50" s="59"/>
      <c r="BH50" s="47"/>
      <c r="BI50" s="47"/>
      <c r="BJ50" s="47"/>
      <c r="BK50" s="56"/>
    </row>
    <row r="51" ht="21.0" customHeight="1">
      <c r="A51" s="43"/>
      <c r="B51" s="44" t="s">
        <v>99</v>
      </c>
      <c r="C51" s="44" t="s">
        <v>188</v>
      </c>
      <c r="D51" s="45">
        <v>45096.0</v>
      </c>
      <c r="E51" s="45">
        <v>45100.0</v>
      </c>
      <c r="F51" s="44" t="s">
        <v>30</v>
      </c>
      <c r="G51" s="44" t="s">
        <v>59</v>
      </c>
      <c r="H51" s="44" t="s">
        <v>27</v>
      </c>
      <c r="I51" s="60"/>
      <c r="J51" s="47"/>
      <c r="K51" s="47"/>
      <c r="L51" s="47"/>
      <c r="M51" s="48"/>
      <c r="N51" s="61"/>
      <c r="O51" s="47"/>
      <c r="P51" s="47"/>
      <c r="Q51" s="47"/>
      <c r="R51" s="48"/>
      <c r="S51" s="50"/>
      <c r="T51" s="47"/>
      <c r="U51" s="47"/>
      <c r="V51" s="47"/>
      <c r="W51" s="48"/>
      <c r="X51" s="51"/>
      <c r="Y51" s="47"/>
      <c r="Z51" s="47"/>
      <c r="AA51" s="47"/>
      <c r="AB51" s="48"/>
      <c r="AC51" s="46">
        <v>1838.07</v>
      </c>
      <c r="AD51" s="47"/>
      <c r="AE51" s="47"/>
      <c r="AF51" s="47"/>
      <c r="AG51" s="48"/>
      <c r="AH51" s="82">
        <v>1830.12</v>
      </c>
      <c r="AI51" s="47"/>
      <c r="AJ51" s="47"/>
      <c r="AK51" s="47"/>
      <c r="AL51" s="48"/>
      <c r="AM51" s="91"/>
      <c r="AN51" s="47"/>
      <c r="AO51" s="47"/>
      <c r="AP51" s="47"/>
      <c r="AQ51" s="48"/>
      <c r="AR51" s="52"/>
      <c r="AS51" s="47"/>
      <c r="AT51" s="47"/>
      <c r="AU51" s="47"/>
      <c r="AV51" s="48"/>
      <c r="AW51" s="53"/>
      <c r="AX51" s="47"/>
      <c r="AY51" s="47"/>
      <c r="AZ51" s="47"/>
      <c r="BA51" s="48"/>
      <c r="BB51" s="59"/>
      <c r="BC51" s="47"/>
      <c r="BD51" s="47"/>
      <c r="BE51" s="47"/>
      <c r="BF51" s="48"/>
      <c r="BG51" s="59"/>
      <c r="BH51" s="47"/>
      <c r="BI51" s="47"/>
      <c r="BJ51" s="47"/>
      <c r="BK51" s="56"/>
    </row>
    <row r="52" ht="21.0" customHeight="1">
      <c r="A52" s="43"/>
      <c r="B52" s="44" t="s">
        <v>99</v>
      </c>
      <c r="C52" s="44" t="s">
        <v>273</v>
      </c>
      <c r="D52" s="45">
        <v>45138.0</v>
      </c>
      <c r="E52" s="45">
        <v>45140.0</v>
      </c>
      <c r="F52" s="44" t="s">
        <v>274</v>
      </c>
      <c r="G52" s="44" t="s">
        <v>59</v>
      </c>
      <c r="H52" s="44" t="s">
        <v>27</v>
      </c>
      <c r="I52" s="60"/>
      <c r="J52" s="47"/>
      <c r="K52" s="47"/>
      <c r="L52" s="47"/>
      <c r="M52" s="48"/>
      <c r="N52" s="61"/>
      <c r="O52" s="47"/>
      <c r="P52" s="47"/>
      <c r="Q52" s="47"/>
      <c r="R52" s="48"/>
      <c r="S52" s="50"/>
      <c r="T52" s="47"/>
      <c r="U52" s="47"/>
      <c r="V52" s="47"/>
      <c r="W52" s="48"/>
      <c r="X52" s="51"/>
      <c r="Y52" s="47"/>
      <c r="Z52" s="47"/>
      <c r="AA52" s="47"/>
      <c r="AB52" s="48"/>
      <c r="AC52" s="50"/>
      <c r="AD52" s="47"/>
      <c r="AE52" s="47"/>
      <c r="AF52" s="47"/>
      <c r="AG52" s="48"/>
      <c r="AH52" s="52"/>
      <c r="AI52" s="47"/>
      <c r="AJ52" s="47"/>
      <c r="AK52" s="47"/>
      <c r="AL52" s="48"/>
      <c r="AM52" s="106">
        <v>1523.28</v>
      </c>
      <c r="AN52" s="47"/>
      <c r="AO52" s="47"/>
      <c r="AP52" s="47"/>
      <c r="AQ52" s="48"/>
      <c r="AR52" s="82">
        <v>1223.29</v>
      </c>
      <c r="AS52" s="47"/>
      <c r="AT52" s="47"/>
      <c r="AU52" s="47"/>
      <c r="AV52" s="48"/>
      <c r="AW52" s="53"/>
      <c r="AX52" s="47"/>
      <c r="AY52" s="47"/>
      <c r="AZ52" s="47"/>
      <c r="BA52" s="48"/>
      <c r="BB52" s="59"/>
      <c r="BC52" s="47"/>
      <c r="BD52" s="47"/>
      <c r="BE52" s="47"/>
      <c r="BF52" s="48"/>
      <c r="BG52" s="59"/>
      <c r="BH52" s="47"/>
      <c r="BI52" s="47"/>
      <c r="BJ52" s="47"/>
      <c r="BK52" s="56"/>
    </row>
    <row r="53" ht="21.0" customHeight="1">
      <c r="A53" s="43"/>
      <c r="B53" s="44" t="s">
        <v>220</v>
      </c>
      <c r="C53" s="44" t="s">
        <v>273</v>
      </c>
      <c r="D53" s="45">
        <v>45138.0</v>
      </c>
      <c r="E53" s="45">
        <v>45141.0</v>
      </c>
      <c r="F53" s="44" t="s">
        <v>274</v>
      </c>
      <c r="G53" s="44" t="s">
        <v>59</v>
      </c>
      <c r="H53" s="44" t="s">
        <v>27</v>
      </c>
      <c r="I53" s="60"/>
      <c r="J53" s="47"/>
      <c r="K53" s="47"/>
      <c r="L53" s="47"/>
      <c r="M53" s="48"/>
      <c r="N53" s="61"/>
      <c r="O53" s="47"/>
      <c r="P53" s="47"/>
      <c r="Q53" s="47"/>
      <c r="R53" s="48"/>
      <c r="S53" s="50"/>
      <c r="T53" s="47"/>
      <c r="U53" s="47"/>
      <c r="V53" s="47"/>
      <c r="W53" s="48"/>
      <c r="X53" s="51"/>
      <c r="Y53" s="47"/>
      <c r="Z53" s="47"/>
      <c r="AA53" s="47"/>
      <c r="AB53" s="48"/>
      <c r="AC53" s="50"/>
      <c r="AD53" s="47"/>
      <c r="AE53" s="47"/>
      <c r="AF53" s="47"/>
      <c r="AG53" s="48"/>
      <c r="AH53" s="52"/>
      <c r="AI53" s="47"/>
      <c r="AJ53" s="47"/>
      <c r="AK53" s="47"/>
      <c r="AL53" s="48"/>
      <c r="AM53" s="106">
        <v>1660.08</v>
      </c>
      <c r="AN53" s="47"/>
      <c r="AO53" s="47"/>
      <c r="AP53" s="47"/>
      <c r="AQ53" s="48"/>
      <c r="AR53" s="82">
        <v>1741.52</v>
      </c>
      <c r="AS53" s="47"/>
      <c r="AT53" s="47"/>
      <c r="AU53" s="47"/>
      <c r="AV53" s="48"/>
      <c r="AW53" s="53"/>
      <c r="AX53" s="47"/>
      <c r="AY53" s="47"/>
      <c r="AZ53" s="47"/>
      <c r="BA53" s="48"/>
      <c r="BB53" s="59"/>
      <c r="BC53" s="47"/>
      <c r="BD53" s="47"/>
      <c r="BE53" s="47"/>
      <c r="BF53" s="48"/>
      <c r="BG53" s="59"/>
      <c r="BH53" s="47"/>
      <c r="BI53" s="47"/>
      <c r="BJ53" s="47"/>
      <c r="BK53" s="56"/>
    </row>
    <row r="54" ht="21.0" customHeight="1">
      <c r="A54" s="43"/>
      <c r="B54" s="44" t="s">
        <v>276</v>
      </c>
      <c r="C54" s="44" t="s">
        <v>273</v>
      </c>
      <c r="D54" s="45">
        <v>45138.0</v>
      </c>
      <c r="E54" s="45">
        <v>45141.0</v>
      </c>
      <c r="F54" s="44" t="s">
        <v>274</v>
      </c>
      <c r="G54" s="44" t="s">
        <v>59</v>
      </c>
      <c r="H54" s="44" t="s">
        <v>27</v>
      </c>
      <c r="I54" s="60"/>
      <c r="J54" s="47"/>
      <c r="K54" s="47"/>
      <c r="L54" s="47"/>
      <c r="M54" s="48"/>
      <c r="N54" s="61"/>
      <c r="O54" s="47"/>
      <c r="P54" s="47"/>
      <c r="Q54" s="47"/>
      <c r="R54" s="48"/>
      <c r="S54" s="50"/>
      <c r="T54" s="47"/>
      <c r="U54" s="47"/>
      <c r="V54" s="47"/>
      <c r="W54" s="48"/>
      <c r="X54" s="51"/>
      <c r="Y54" s="47"/>
      <c r="Z54" s="47"/>
      <c r="AA54" s="47"/>
      <c r="AB54" s="48"/>
      <c r="AC54" s="50"/>
      <c r="AD54" s="47"/>
      <c r="AE54" s="47"/>
      <c r="AF54" s="47"/>
      <c r="AG54" s="48"/>
      <c r="AH54" s="52"/>
      <c r="AI54" s="47"/>
      <c r="AJ54" s="47"/>
      <c r="AK54" s="47"/>
      <c r="AL54" s="48"/>
      <c r="AM54" s="106">
        <v>1117.29</v>
      </c>
      <c r="AN54" s="47"/>
      <c r="AO54" s="47"/>
      <c r="AP54" s="47"/>
      <c r="AQ54" s="48"/>
      <c r="AR54" s="82">
        <v>1173.04</v>
      </c>
      <c r="AS54" s="47"/>
      <c r="AT54" s="47"/>
      <c r="AU54" s="47"/>
      <c r="AV54" s="48"/>
      <c r="AW54" s="53"/>
      <c r="AX54" s="47"/>
      <c r="AY54" s="47"/>
      <c r="AZ54" s="47"/>
      <c r="BA54" s="48"/>
      <c r="BB54" s="59"/>
      <c r="BC54" s="47"/>
      <c r="BD54" s="47"/>
      <c r="BE54" s="47"/>
      <c r="BF54" s="48"/>
      <c r="BG54" s="59"/>
      <c r="BH54" s="47"/>
      <c r="BI54" s="47"/>
      <c r="BJ54" s="47"/>
      <c r="BK54" s="56"/>
    </row>
    <row r="55" ht="21.0" customHeight="1">
      <c r="A55" s="43"/>
      <c r="B55" s="44" t="s">
        <v>255</v>
      </c>
      <c r="C55" s="44" t="s">
        <v>278</v>
      </c>
      <c r="D55" s="45">
        <v>45129.0</v>
      </c>
      <c r="E55" s="45">
        <v>45134.0</v>
      </c>
      <c r="F55" s="44" t="s">
        <v>279</v>
      </c>
      <c r="G55" s="44" t="s">
        <v>84</v>
      </c>
      <c r="H55" s="44" t="s">
        <v>124</v>
      </c>
      <c r="I55" s="60"/>
      <c r="J55" s="47"/>
      <c r="K55" s="47"/>
      <c r="L55" s="47"/>
      <c r="M55" s="48"/>
      <c r="N55" s="61"/>
      <c r="O55" s="47"/>
      <c r="P55" s="47"/>
      <c r="Q55" s="47"/>
      <c r="R55" s="48"/>
      <c r="S55" s="50"/>
      <c r="T55" s="47"/>
      <c r="U55" s="47"/>
      <c r="V55" s="47"/>
      <c r="W55" s="48"/>
      <c r="X55" s="51"/>
      <c r="Y55" s="47"/>
      <c r="Z55" s="47"/>
      <c r="AA55" s="47"/>
      <c r="AB55" s="48"/>
      <c r="AC55" s="50"/>
      <c r="AD55" s="47"/>
      <c r="AE55" s="47"/>
      <c r="AF55" s="47"/>
      <c r="AG55" s="48"/>
      <c r="AH55" s="52"/>
      <c r="AI55" s="47"/>
      <c r="AJ55" s="47"/>
      <c r="AK55" s="47"/>
      <c r="AL55" s="48"/>
      <c r="AM55" s="106">
        <v>2100.88</v>
      </c>
      <c r="AN55" s="47"/>
      <c r="AO55" s="47"/>
      <c r="AP55" s="47"/>
      <c r="AQ55" s="48"/>
      <c r="AR55" s="82">
        <v>2001.31</v>
      </c>
      <c r="AS55" s="47"/>
      <c r="AT55" s="47"/>
      <c r="AU55" s="47"/>
      <c r="AV55" s="48"/>
      <c r="AW55" s="53"/>
      <c r="AX55" s="47"/>
      <c r="AY55" s="47"/>
      <c r="AZ55" s="47"/>
      <c r="BA55" s="48"/>
      <c r="BB55" s="59"/>
      <c r="BC55" s="47"/>
      <c r="BD55" s="47"/>
      <c r="BE55" s="47"/>
      <c r="BF55" s="48"/>
      <c r="BG55" s="59"/>
      <c r="BH55" s="47"/>
      <c r="BI55" s="47"/>
      <c r="BJ55" s="47"/>
      <c r="BK55" s="56"/>
    </row>
    <row r="56" ht="21.0" customHeight="1">
      <c r="A56" s="43"/>
      <c r="B56" s="44" t="s">
        <v>99</v>
      </c>
      <c r="C56" s="44" t="s">
        <v>280</v>
      </c>
      <c r="D56" s="45">
        <v>45124.0</v>
      </c>
      <c r="E56" s="45">
        <v>45127.0</v>
      </c>
      <c r="F56" s="44" t="s">
        <v>30</v>
      </c>
      <c r="G56" s="44" t="s">
        <v>282</v>
      </c>
      <c r="H56" s="44" t="s">
        <v>21</v>
      </c>
      <c r="I56" s="60"/>
      <c r="J56" s="47"/>
      <c r="K56" s="47"/>
      <c r="L56" s="47"/>
      <c r="M56" s="48"/>
      <c r="N56" s="61"/>
      <c r="O56" s="47"/>
      <c r="P56" s="47"/>
      <c r="Q56" s="47"/>
      <c r="R56" s="48"/>
      <c r="S56" s="50"/>
      <c r="T56" s="47"/>
      <c r="U56" s="47"/>
      <c r="V56" s="47"/>
      <c r="W56" s="48"/>
      <c r="X56" s="51"/>
      <c r="Y56" s="47"/>
      <c r="Z56" s="47"/>
      <c r="AA56" s="47"/>
      <c r="AB56" s="48"/>
      <c r="AC56" s="50"/>
      <c r="AD56" s="47"/>
      <c r="AE56" s="47"/>
      <c r="AF56" s="47"/>
      <c r="AG56" s="48"/>
      <c r="AH56" s="52"/>
      <c r="AI56" s="47"/>
      <c r="AJ56" s="47"/>
      <c r="AK56" s="47"/>
      <c r="AL56" s="48"/>
      <c r="AM56" s="106">
        <v>1356.28</v>
      </c>
      <c r="AN56" s="47"/>
      <c r="AO56" s="47"/>
      <c r="AP56" s="47"/>
      <c r="AQ56" s="48"/>
      <c r="AR56" s="82">
        <v>1282.39</v>
      </c>
      <c r="AS56" s="47"/>
      <c r="AT56" s="47"/>
      <c r="AU56" s="47"/>
      <c r="AV56" s="48"/>
      <c r="AW56" s="53"/>
      <c r="AX56" s="47"/>
      <c r="AY56" s="47"/>
      <c r="AZ56" s="47"/>
      <c r="BA56" s="48"/>
      <c r="BB56" s="59"/>
      <c r="BC56" s="47"/>
      <c r="BD56" s="47"/>
      <c r="BE56" s="47"/>
      <c r="BF56" s="48"/>
      <c r="BG56" s="59"/>
      <c r="BH56" s="47"/>
      <c r="BI56" s="47"/>
      <c r="BJ56" s="47"/>
      <c r="BK56" s="56"/>
    </row>
    <row r="57" ht="21.0" customHeight="1">
      <c r="A57" s="43"/>
      <c r="B57" s="44" t="s">
        <v>220</v>
      </c>
      <c r="C57" s="44" t="s">
        <v>283</v>
      </c>
      <c r="D57" s="45">
        <v>45133.0</v>
      </c>
      <c r="E57" s="45">
        <v>45135.0</v>
      </c>
      <c r="F57" s="44" t="s">
        <v>284</v>
      </c>
      <c r="G57" s="44" t="s">
        <v>59</v>
      </c>
      <c r="H57" s="44" t="s">
        <v>27</v>
      </c>
      <c r="I57" s="60"/>
      <c r="J57" s="47"/>
      <c r="K57" s="47"/>
      <c r="L57" s="47"/>
      <c r="M57" s="48"/>
      <c r="N57" s="61"/>
      <c r="O57" s="47"/>
      <c r="P57" s="47"/>
      <c r="Q57" s="47"/>
      <c r="R57" s="48"/>
      <c r="S57" s="50"/>
      <c r="T57" s="47"/>
      <c r="U57" s="47"/>
      <c r="V57" s="47"/>
      <c r="W57" s="48"/>
      <c r="X57" s="51"/>
      <c r="Y57" s="47"/>
      <c r="Z57" s="47"/>
      <c r="AA57" s="47"/>
      <c r="AB57" s="48"/>
      <c r="AC57" s="50"/>
      <c r="AD57" s="47"/>
      <c r="AE57" s="47"/>
      <c r="AF57" s="47"/>
      <c r="AG57" s="48"/>
      <c r="AH57" s="52"/>
      <c r="AI57" s="47"/>
      <c r="AJ57" s="47"/>
      <c r="AK57" s="47"/>
      <c r="AL57" s="48"/>
      <c r="AM57" s="106">
        <v>1010.07</v>
      </c>
      <c r="AN57" s="47"/>
      <c r="AO57" s="47"/>
      <c r="AP57" s="47"/>
      <c r="AQ57" s="48"/>
      <c r="AR57" s="82">
        <v>1169.16</v>
      </c>
      <c r="AS57" s="47"/>
      <c r="AT57" s="47"/>
      <c r="AU57" s="47"/>
      <c r="AV57" s="48"/>
      <c r="AW57" s="53"/>
      <c r="AX57" s="47"/>
      <c r="AY57" s="47"/>
      <c r="AZ57" s="47"/>
      <c r="BA57" s="48"/>
      <c r="BB57" s="59"/>
      <c r="BC57" s="47"/>
      <c r="BD57" s="47"/>
      <c r="BE57" s="47"/>
      <c r="BF57" s="48"/>
      <c r="BG57" s="59"/>
      <c r="BH57" s="47"/>
      <c r="BI57" s="47"/>
      <c r="BJ57" s="47"/>
      <c r="BK57" s="56"/>
    </row>
    <row r="58" ht="21.0" customHeight="1">
      <c r="A58" s="43"/>
      <c r="B58" s="44" t="s">
        <v>99</v>
      </c>
      <c r="C58" s="44" t="s">
        <v>283</v>
      </c>
      <c r="D58" s="45">
        <v>45133.0</v>
      </c>
      <c r="E58" s="45">
        <v>45135.0</v>
      </c>
      <c r="F58" s="44" t="s">
        <v>284</v>
      </c>
      <c r="G58" s="44" t="s">
        <v>59</v>
      </c>
      <c r="H58" s="44" t="s">
        <v>27</v>
      </c>
      <c r="I58" s="60"/>
      <c r="J58" s="47"/>
      <c r="K58" s="47"/>
      <c r="L58" s="47"/>
      <c r="M58" s="48"/>
      <c r="N58" s="61"/>
      <c r="O58" s="47"/>
      <c r="P58" s="47"/>
      <c r="Q58" s="47"/>
      <c r="R58" s="48"/>
      <c r="S58" s="50"/>
      <c r="T58" s="47"/>
      <c r="U58" s="47"/>
      <c r="V58" s="47"/>
      <c r="W58" s="48"/>
      <c r="X58" s="51"/>
      <c r="Y58" s="47"/>
      <c r="Z58" s="47"/>
      <c r="AA58" s="47"/>
      <c r="AB58" s="48"/>
      <c r="AC58" s="50"/>
      <c r="AD58" s="47"/>
      <c r="AE58" s="47"/>
      <c r="AF58" s="47"/>
      <c r="AG58" s="48"/>
      <c r="AH58" s="52"/>
      <c r="AI58" s="47"/>
      <c r="AJ58" s="47"/>
      <c r="AK58" s="47"/>
      <c r="AL58" s="48"/>
      <c r="AM58" s="106">
        <v>857.2</v>
      </c>
      <c r="AN58" s="47"/>
      <c r="AO58" s="47"/>
      <c r="AP58" s="47"/>
      <c r="AQ58" s="48"/>
      <c r="AR58" s="82">
        <v>856.73</v>
      </c>
      <c r="AS58" s="47"/>
      <c r="AT58" s="47"/>
      <c r="AU58" s="47"/>
      <c r="AV58" s="48"/>
      <c r="AW58" s="53"/>
      <c r="AX58" s="47"/>
      <c r="AY58" s="47"/>
      <c r="AZ58" s="47"/>
      <c r="BA58" s="48"/>
      <c r="BB58" s="59"/>
      <c r="BC58" s="47"/>
      <c r="BD58" s="47"/>
      <c r="BE58" s="47"/>
      <c r="BF58" s="48"/>
      <c r="BG58" s="59"/>
      <c r="BH58" s="47"/>
      <c r="BI58" s="47"/>
      <c r="BJ58" s="47"/>
      <c r="BK58" s="56"/>
    </row>
    <row r="59" ht="21.0" customHeight="1">
      <c r="A59" s="43"/>
      <c r="B59" s="44" t="s">
        <v>288</v>
      </c>
      <c r="C59" s="44" t="s">
        <v>283</v>
      </c>
      <c r="D59" s="45">
        <v>45133.0</v>
      </c>
      <c r="E59" s="45">
        <v>45135.0</v>
      </c>
      <c r="F59" s="44" t="s">
        <v>284</v>
      </c>
      <c r="G59" s="44" t="s">
        <v>59</v>
      </c>
      <c r="H59" s="44" t="s">
        <v>27</v>
      </c>
      <c r="I59" s="60"/>
      <c r="J59" s="47"/>
      <c r="K59" s="47"/>
      <c r="L59" s="47"/>
      <c r="M59" s="48"/>
      <c r="N59" s="61"/>
      <c r="O59" s="47"/>
      <c r="P59" s="47"/>
      <c r="Q59" s="47"/>
      <c r="R59" s="48"/>
      <c r="S59" s="50"/>
      <c r="T59" s="47"/>
      <c r="U59" s="47"/>
      <c r="V59" s="47"/>
      <c r="W59" s="48"/>
      <c r="X59" s="51"/>
      <c r="Y59" s="47"/>
      <c r="Z59" s="47"/>
      <c r="AA59" s="47"/>
      <c r="AB59" s="48"/>
      <c r="AC59" s="50"/>
      <c r="AD59" s="47"/>
      <c r="AE59" s="47"/>
      <c r="AF59" s="47"/>
      <c r="AG59" s="48"/>
      <c r="AH59" s="52"/>
      <c r="AI59" s="47"/>
      <c r="AJ59" s="47"/>
      <c r="AK59" s="47"/>
      <c r="AL59" s="48"/>
      <c r="AM59" s="106">
        <v>939.23</v>
      </c>
      <c r="AN59" s="47"/>
      <c r="AO59" s="47"/>
      <c r="AP59" s="47"/>
      <c r="AQ59" s="48"/>
      <c r="AR59" s="82">
        <v>939.23</v>
      </c>
      <c r="AS59" s="47"/>
      <c r="AT59" s="47"/>
      <c r="AU59" s="47"/>
      <c r="AV59" s="48"/>
      <c r="AW59" s="53"/>
      <c r="AX59" s="47"/>
      <c r="AY59" s="47"/>
      <c r="AZ59" s="47"/>
      <c r="BA59" s="48"/>
      <c r="BB59" s="59"/>
      <c r="BC59" s="47"/>
      <c r="BD59" s="47"/>
      <c r="BE59" s="47"/>
      <c r="BF59" s="48"/>
      <c r="BG59" s="59"/>
      <c r="BH59" s="47"/>
      <c r="BI59" s="47"/>
      <c r="BJ59" s="47"/>
      <c r="BK59" s="56"/>
    </row>
    <row r="60" ht="21.0" customHeight="1">
      <c r="A60" s="43"/>
      <c r="B60" s="44"/>
      <c r="C60" s="44"/>
      <c r="D60" s="45"/>
      <c r="E60" s="45"/>
      <c r="F60" s="44"/>
      <c r="G60" s="44"/>
      <c r="H60" s="44"/>
      <c r="I60" s="60"/>
      <c r="J60" s="47"/>
      <c r="K60" s="47"/>
      <c r="L60" s="47"/>
      <c r="M60" s="48"/>
      <c r="N60" s="61"/>
      <c r="O60" s="47"/>
      <c r="P60" s="47"/>
      <c r="Q60" s="47"/>
      <c r="R60" s="48"/>
      <c r="S60" s="50"/>
      <c r="T60" s="47"/>
      <c r="U60" s="47"/>
      <c r="V60" s="47"/>
      <c r="W60" s="48"/>
      <c r="X60" s="51"/>
      <c r="Y60" s="47"/>
      <c r="Z60" s="47"/>
      <c r="AA60" s="47"/>
      <c r="AB60" s="48"/>
      <c r="AC60" s="50"/>
      <c r="AD60" s="47"/>
      <c r="AE60" s="47"/>
      <c r="AF60" s="47"/>
      <c r="AG60" s="48"/>
      <c r="AH60" s="52"/>
      <c r="AI60" s="47"/>
      <c r="AJ60" s="47"/>
      <c r="AK60" s="47"/>
      <c r="AL60" s="48"/>
      <c r="AM60" s="106"/>
      <c r="AN60" s="47"/>
      <c r="AO60" s="47"/>
      <c r="AP60" s="47"/>
      <c r="AQ60" s="48"/>
      <c r="AR60" s="131"/>
      <c r="AS60" s="47"/>
      <c r="AT60" s="47"/>
      <c r="AU60" s="47"/>
      <c r="AV60" s="48"/>
      <c r="AW60" s="53"/>
      <c r="AX60" s="47"/>
      <c r="AY60" s="47"/>
      <c r="AZ60" s="47"/>
      <c r="BA60" s="48"/>
      <c r="BB60" s="59"/>
      <c r="BC60" s="47"/>
      <c r="BD60" s="47"/>
      <c r="BE60" s="47"/>
      <c r="BF60" s="48"/>
      <c r="BG60" s="59"/>
      <c r="BH60" s="47"/>
      <c r="BI60" s="47"/>
      <c r="BJ60" s="47"/>
      <c r="BK60" s="56"/>
    </row>
    <row r="61" ht="21.0" customHeight="1">
      <c r="A61" s="33"/>
      <c r="B61" s="124" t="s">
        <v>264</v>
      </c>
      <c r="C61" s="124" t="s">
        <v>12</v>
      </c>
      <c r="D61" s="125" t="s">
        <v>13</v>
      </c>
      <c r="E61" s="36"/>
      <c r="F61" s="124" t="s">
        <v>14</v>
      </c>
      <c r="G61" s="124" t="s">
        <v>15</v>
      </c>
      <c r="H61" s="124" t="s">
        <v>16</v>
      </c>
      <c r="I61" s="126"/>
      <c r="J61" s="36"/>
      <c r="K61" s="36"/>
      <c r="L61" s="36"/>
      <c r="M61" s="36"/>
      <c r="N61" s="127"/>
      <c r="O61" s="36"/>
      <c r="P61" s="36"/>
      <c r="Q61" s="36"/>
      <c r="R61" s="36"/>
      <c r="S61" s="126"/>
      <c r="T61" s="36"/>
      <c r="U61" s="36"/>
      <c r="V61" s="36"/>
      <c r="W61" s="36"/>
      <c r="X61" s="127"/>
      <c r="Y61" s="36"/>
      <c r="Z61" s="36"/>
      <c r="AA61" s="36"/>
      <c r="AB61" s="36"/>
      <c r="AC61" s="127"/>
      <c r="AD61" s="36"/>
      <c r="AE61" s="36"/>
      <c r="AF61" s="36"/>
      <c r="AG61" s="36"/>
      <c r="AH61" s="127"/>
      <c r="AI61" s="36"/>
      <c r="AJ61" s="36"/>
      <c r="AK61" s="36"/>
      <c r="AL61" s="36"/>
      <c r="AM61" s="127"/>
      <c r="AN61" s="36"/>
      <c r="AO61" s="36"/>
      <c r="AP61" s="36"/>
      <c r="AQ61" s="36"/>
      <c r="AR61" s="127"/>
      <c r="AS61" s="36"/>
      <c r="AT61" s="36"/>
      <c r="AU61" s="36"/>
      <c r="AV61" s="36"/>
      <c r="AW61" s="128"/>
      <c r="AX61" s="36"/>
      <c r="AY61" s="36"/>
      <c r="AZ61" s="36"/>
      <c r="BA61" s="36"/>
      <c r="BB61" s="129"/>
      <c r="BC61" s="36"/>
      <c r="BD61" s="36"/>
      <c r="BE61" s="36"/>
      <c r="BF61" s="36"/>
      <c r="BG61" s="129"/>
      <c r="BH61" s="36"/>
      <c r="BI61" s="36"/>
      <c r="BJ61" s="36"/>
      <c r="BK61" s="42"/>
    </row>
    <row r="62" ht="21.0" customHeight="1">
      <c r="A62" s="43"/>
      <c r="B62" s="44" t="s">
        <v>263</v>
      </c>
      <c r="C62" s="44" t="s">
        <v>249</v>
      </c>
      <c r="D62" s="45">
        <v>44992.0</v>
      </c>
      <c r="E62" s="45">
        <v>44995.0</v>
      </c>
      <c r="F62" s="44" t="s">
        <v>137</v>
      </c>
      <c r="G62" s="44" t="s">
        <v>59</v>
      </c>
      <c r="H62" s="44" t="s">
        <v>27</v>
      </c>
      <c r="I62" s="50"/>
      <c r="J62" s="47"/>
      <c r="K62" s="47"/>
      <c r="L62" s="47"/>
      <c r="M62" s="48"/>
      <c r="N62" s="51"/>
      <c r="O62" s="47"/>
      <c r="P62" s="47"/>
      <c r="Q62" s="47"/>
      <c r="R62" s="48"/>
      <c r="S62" s="46">
        <v>1296.61</v>
      </c>
      <c r="T62" s="47"/>
      <c r="U62" s="47"/>
      <c r="V62" s="47"/>
      <c r="W62" s="48"/>
      <c r="X62" s="133">
        <v>1297.53</v>
      </c>
      <c r="Y62" s="47"/>
      <c r="Z62" s="47"/>
      <c r="AA62" s="47"/>
      <c r="AB62" s="48"/>
      <c r="AC62" s="50"/>
      <c r="AD62" s="47"/>
      <c r="AE62" s="47"/>
      <c r="AF62" s="47"/>
      <c r="AG62" s="48"/>
      <c r="AH62" s="51"/>
      <c r="AI62" s="47"/>
      <c r="AJ62" s="47"/>
      <c r="AK62" s="47"/>
      <c r="AL62" s="48"/>
      <c r="AM62" s="50"/>
      <c r="AN62" s="47"/>
      <c r="AO62" s="47"/>
      <c r="AP62" s="47"/>
      <c r="AQ62" s="48"/>
      <c r="AR62" s="51"/>
      <c r="AS62" s="47"/>
      <c r="AT62" s="47"/>
      <c r="AU62" s="47"/>
      <c r="AV62" s="48"/>
      <c r="AW62" s="53" t="s">
        <v>264</v>
      </c>
      <c r="AX62" s="47"/>
      <c r="AY62" s="47"/>
      <c r="AZ62" s="47"/>
      <c r="BA62" s="48"/>
      <c r="BB62" s="54">
        <f>SUM(N62:R79)</f>
        <v>0</v>
      </c>
      <c r="BC62" s="47"/>
      <c r="BD62" s="47"/>
      <c r="BE62" s="47"/>
      <c r="BF62" s="48"/>
      <c r="BG62" s="55" t="s">
        <v>22</v>
      </c>
      <c r="BH62" s="47"/>
      <c r="BI62" s="47"/>
      <c r="BJ62" s="47"/>
      <c r="BK62" s="56"/>
    </row>
    <row r="63" ht="21.0" customHeight="1">
      <c r="A63" s="43"/>
      <c r="B63" s="44" t="s">
        <v>110</v>
      </c>
      <c r="C63" s="44" t="s">
        <v>249</v>
      </c>
      <c r="D63" s="45">
        <v>44992.0</v>
      </c>
      <c r="E63" s="45">
        <v>44995.0</v>
      </c>
      <c r="F63" s="44" t="s">
        <v>137</v>
      </c>
      <c r="G63" s="44" t="s">
        <v>59</v>
      </c>
      <c r="H63" s="57" t="s">
        <v>27</v>
      </c>
      <c r="I63" s="50"/>
      <c r="J63" s="47"/>
      <c r="K63" s="47"/>
      <c r="L63" s="47"/>
      <c r="M63" s="48"/>
      <c r="N63" s="61"/>
      <c r="O63" s="47"/>
      <c r="P63" s="47"/>
      <c r="Q63" s="47"/>
      <c r="R63" s="48"/>
      <c r="S63" s="46">
        <v>978.78</v>
      </c>
      <c r="T63" s="47"/>
      <c r="U63" s="47"/>
      <c r="V63" s="47"/>
      <c r="W63" s="48"/>
      <c r="X63" s="82">
        <v>1035.25</v>
      </c>
      <c r="Y63" s="47"/>
      <c r="Z63" s="47"/>
      <c r="AA63" s="47"/>
      <c r="AB63" s="48"/>
      <c r="AC63" s="50"/>
      <c r="AD63" s="47"/>
      <c r="AE63" s="47"/>
      <c r="AF63" s="47"/>
      <c r="AG63" s="48"/>
      <c r="AH63" s="52"/>
      <c r="AI63" s="47"/>
      <c r="AJ63" s="47"/>
      <c r="AK63" s="47"/>
      <c r="AL63" s="48"/>
      <c r="AM63" s="91"/>
      <c r="AN63" s="47"/>
      <c r="AO63" s="47"/>
      <c r="AP63" s="47"/>
      <c r="AQ63" s="48"/>
      <c r="AR63" s="52"/>
      <c r="AS63" s="47"/>
      <c r="AT63" s="47"/>
      <c r="AU63" s="47"/>
      <c r="AV63" s="48"/>
      <c r="AW63" s="53"/>
      <c r="AX63" s="47"/>
      <c r="AY63" s="47"/>
      <c r="AZ63" s="47"/>
      <c r="BA63" s="48"/>
      <c r="BB63" s="54">
        <f>SUM(X62:AB79)</f>
        <v>2416.88</v>
      </c>
      <c r="BC63" s="47"/>
      <c r="BD63" s="47"/>
      <c r="BE63" s="47"/>
      <c r="BF63" s="48"/>
      <c r="BG63" s="55" t="s">
        <v>3</v>
      </c>
      <c r="BH63" s="47"/>
      <c r="BI63" s="47"/>
      <c r="BJ63" s="47"/>
      <c r="BK63" s="56"/>
    </row>
    <row r="64" ht="21.0" customHeight="1">
      <c r="A64" s="43"/>
      <c r="B64" s="44" t="s">
        <v>248</v>
      </c>
      <c r="C64" s="44" t="s">
        <v>249</v>
      </c>
      <c r="D64" s="45">
        <v>44970.0</v>
      </c>
      <c r="E64" s="45">
        <v>44970.0</v>
      </c>
      <c r="F64" s="44" t="s">
        <v>30</v>
      </c>
      <c r="G64" s="44" t="s">
        <v>59</v>
      </c>
      <c r="H64" s="57" t="s">
        <v>60</v>
      </c>
      <c r="I64" s="50"/>
      <c r="J64" s="47"/>
      <c r="K64" s="47"/>
      <c r="L64" s="47"/>
      <c r="M64" s="48"/>
      <c r="N64" s="61"/>
      <c r="O64" s="47"/>
      <c r="P64" s="47"/>
      <c r="Q64" s="47"/>
      <c r="R64" s="48"/>
      <c r="S64" s="46" t="s">
        <v>56</v>
      </c>
      <c r="T64" s="47"/>
      <c r="U64" s="47"/>
      <c r="V64" s="47"/>
      <c r="W64" s="48"/>
      <c r="X64" s="82">
        <v>84.1</v>
      </c>
      <c r="Y64" s="47"/>
      <c r="Z64" s="47"/>
      <c r="AA64" s="47"/>
      <c r="AB64" s="48"/>
      <c r="AC64" s="50"/>
      <c r="AD64" s="47"/>
      <c r="AE64" s="47"/>
      <c r="AF64" s="47"/>
      <c r="AG64" s="48"/>
      <c r="AH64" s="52"/>
      <c r="AI64" s="47"/>
      <c r="AJ64" s="47"/>
      <c r="AK64" s="47"/>
      <c r="AL64" s="48"/>
      <c r="AM64" s="91"/>
      <c r="AN64" s="47"/>
      <c r="AO64" s="47"/>
      <c r="AP64" s="47"/>
      <c r="AQ64" s="48"/>
      <c r="AR64" s="52"/>
      <c r="AS64" s="47"/>
      <c r="AT64" s="47"/>
      <c r="AU64" s="47"/>
      <c r="AV64" s="48"/>
      <c r="AW64" s="53"/>
      <c r="AX64" s="47"/>
      <c r="AY64" s="47"/>
      <c r="AZ64" s="47"/>
      <c r="BA64" s="48"/>
      <c r="BB64" s="54">
        <f>SUM(AH62:AL79)</f>
        <v>7140.63</v>
      </c>
      <c r="BC64" s="47"/>
      <c r="BD64" s="47"/>
      <c r="BE64" s="47"/>
      <c r="BF64" s="48"/>
      <c r="BG64" s="55" t="s">
        <v>4</v>
      </c>
      <c r="BH64" s="47"/>
      <c r="BI64" s="47"/>
      <c r="BJ64" s="47"/>
      <c r="BK64" s="56"/>
    </row>
    <row r="65" ht="21.0" customHeight="1">
      <c r="A65" s="43"/>
      <c r="B65" s="44" t="s">
        <v>248</v>
      </c>
      <c r="C65" s="44" t="s">
        <v>285</v>
      </c>
      <c r="D65" s="45">
        <v>45030.0</v>
      </c>
      <c r="E65" s="45">
        <v>45039.0</v>
      </c>
      <c r="F65" s="44" t="s">
        <v>286</v>
      </c>
      <c r="G65" s="44" t="s">
        <v>251</v>
      </c>
      <c r="H65" s="57" t="s">
        <v>287</v>
      </c>
      <c r="I65" s="50"/>
      <c r="J65" s="47"/>
      <c r="K65" s="47"/>
      <c r="L65" s="47"/>
      <c r="M65" s="48"/>
      <c r="N65" s="61"/>
      <c r="O65" s="47"/>
      <c r="P65" s="47"/>
      <c r="Q65" s="47"/>
      <c r="R65" s="48"/>
      <c r="S65" s="50"/>
      <c r="T65" s="47"/>
      <c r="U65" s="47"/>
      <c r="V65" s="47"/>
      <c r="W65" s="48"/>
      <c r="X65" s="51"/>
      <c r="Y65" s="47"/>
      <c r="Z65" s="47"/>
      <c r="AA65" s="47"/>
      <c r="AB65" s="48"/>
      <c r="AC65" s="46">
        <v>1902.96</v>
      </c>
      <c r="AD65" s="47"/>
      <c r="AE65" s="47"/>
      <c r="AF65" s="47"/>
      <c r="AG65" s="48"/>
      <c r="AH65" s="82" t="s">
        <v>56</v>
      </c>
      <c r="AI65" s="47"/>
      <c r="AJ65" s="47"/>
      <c r="AK65" s="47"/>
      <c r="AL65" s="48"/>
      <c r="AM65" s="91"/>
      <c r="AN65" s="47"/>
      <c r="AO65" s="47"/>
      <c r="AP65" s="47"/>
      <c r="AQ65" s="48"/>
      <c r="AR65" s="52"/>
      <c r="AS65" s="47"/>
      <c r="AT65" s="47"/>
      <c r="AU65" s="47"/>
      <c r="AV65" s="48"/>
      <c r="AW65" s="53"/>
      <c r="AX65" s="47"/>
      <c r="AY65" s="47"/>
      <c r="AZ65" s="47"/>
      <c r="BA65" s="48"/>
      <c r="BB65" s="54">
        <f>SUM(AR62:AV79)</f>
        <v>9066.6</v>
      </c>
      <c r="BC65" s="47"/>
      <c r="BD65" s="47"/>
      <c r="BE65" s="47"/>
      <c r="BF65" s="48"/>
      <c r="BG65" s="55" t="s">
        <v>5</v>
      </c>
      <c r="BH65" s="47"/>
      <c r="BI65" s="47"/>
      <c r="BJ65" s="47"/>
      <c r="BK65" s="56"/>
    </row>
    <row r="66" ht="21.0" customHeight="1">
      <c r="A66" s="43"/>
      <c r="B66" s="44" t="s">
        <v>263</v>
      </c>
      <c r="C66" s="44" t="s">
        <v>130</v>
      </c>
      <c r="D66" s="45">
        <v>45047.0</v>
      </c>
      <c r="E66" s="45">
        <v>45050.0</v>
      </c>
      <c r="F66" s="44" t="s">
        <v>50</v>
      </c>
      <c r="G66" s="44" t="s">
        <v>26</v>
      </c>
      <c r="H66" s="44" t="s">
        <v>21</v>
      </c>
      <c r="I66" s="132"/>
      <c r="J66" s="47"/>
      <c r="K66" s="47"/>
      <c r="L66" s="47"/>
      <c r="M66" s="48"/>
      <c r="N66" s="61"/>
      <c r="O66" s="47"/>
      <c r="P66" s="47"/>
      <c r="Q66" s="47"/>
      <c r="R66" s="48"/>
      <c r="S66" s="50"/>
      <c r="T66" s="47"/>
      <c r="U66" s="47"/>
      <c r="V66" s="47"/>
      <c r="W66" s="48"/>
      <c r="X66" s="52"/>
      <c r="Y66" s="47"/>
      <c r="Z66" s="47"/>
      <c r="AA66" s="47"/>
      <c r="AB66" s="48"/>
      <c r="AC66" s="46">
        <v>1435.97</v>
      </c>
      <c r="AD66" s="47"/>
      <c r="AE66" s="47"/>
      <c r="AF66" s="47"/>
      <c r="AG66" s="48"/>
      <c r="AH66" s="82">
        <v>1472.88</v>
      </c>
      <c r="AI66" s="47"/>
      <c r="AJ66" s="47"/>
      <c r="AK66" s="47"/>
      <c r="AL66" s="48"/>
      <c r="AM66" s="91"/>
      <c r="AN66" s="47"/>
      <c r="AO66" s="47"/>
      <c r="AP66" s="47"/>
      <c r="AQ66" s="48"/>
      <c r="AR66" s="52"/>
      <c r="AS66" s="47"/>
      <c r="AT66" s="47"/>
      <c r="AU66" s="47"/>
      <c r="AV66" s="48"/>
      <c r="AW66" s="53"/>
      <c r="AX66" s="47"/>
      <c r="AY66" s="47"/>
      <c r="AZ66" s="47"/>
      <c r="BA66" s="48"/>
      <c r="BB66" s="59"/>
      <c r="BC66" s="47"/>
      <c r="BD66" s="47"/>
      <c r="BE66" s="47"/>
      <c r="BF66" s="48"/>
      <c r="BG66" s="59"/>
      <c r="BH66" s="47"/>
      <c r="BI66" s="47"/>
      <c r="BJ66" s="47"/>
      <c r="BK66" s="56"/>
    </row>
    <row r="67" ht="21.0" customHeight="1">
      <c r="A67" s="43"/>
      <c r="B67" s="44" t="s">
        <v>263</v>
      </c>
      <c r="C67" s="44" t="s">
        <v>298</v>
      </c>
      <c r="D67" s="45">
        <v>45096.0</v>
      </c>
      <c r="E67" s="45">
        <v>45100.0</v>
      </c>
      <c r="F67" s="44" t="s">
        <v>30</v>
      </c>
      <c r="G67" s="44" t="s">
        <v>84</v>
      </c>
      <c r="H67" s="44" t="s">
        <v>27</v>
      </c>
      <c r="I67" s="60"/>
      <c r="J67" s="47"/>
      <c r="K67" s="47"/>
      <c r="L67" s="47"/>
      <c r="M67" s="48"/>
      <c r="N67" s="61"/>
      <c r="O67" s="47"/>
      <c r="P67" s="47"/>
      <c r="Q67" s="47"/>
      <c r="R67" s="48"/>
      <c r="S67" s="50"/>
      <c r="T67" s="47"/>
      <c r="U67" s="47"/>
      <c r="V67" s="47"/>
      <c r="W67" s="48"/>
      <c r="X67" s="51"/>
      <c r="Y67" s="47"/>
      <c r="Z67" s="47"/>
      <c r="AA67" s="47"/>
      <c r="AB67" s="48"/>
      <c r="AC67" s="46">
        <v>1539.47</v>
      </c>
      <c r="AD67" s="47"/>
      <c r="AE67" s="47"/>
      <c r="AF67" s="47"/>
      <c r="AG67" s="48"/>
      <c r="AH67" s="82">
        <v>1678.68</v>
      </c>
      <c r="AI67" s="47"/>
      <c r="AJ67" s="47"/>
      <c r="AK67" s="47"/>
      <c r="AL67" s="48"/>
      <c r="AM67" s="91"/>
      <c r="AN67" s="47"/>
      <c r="AO67" s="47"/>
      <c r="AP67" s="47"/>
      <c r="AQ67" s="48"/>
      <c r="AR67" s="52"/>
      <c r="AS67" s="47"/>
      <c r="AT67" s="47"/>
      <c r="AU67" s="47"/>
      <c r="AV67" s="48"/>
      <c r="AW67" s="53"/>
      <c r="AX67" s="47"/>
      <c r="AY67" s="47"/>
      <c r="AZ67" s="47"/>
      <c r="BA67" s="48"/>
      <c r="BB67" s="59"/>
      <c r="BC67" s="47"/>
      <c r="BD67" s="47"/>
      <c r="BE67" s="47"/>
      <c r="BF67" s="48"/>
      <c r="BG67" s="59"/>
      <c r="BH67" s="47"/>
      <c r="BI67" s="47"/>
      <c r="BJ67" s="47"/>
      <c r="BK67" s="56"/>
    </row>
    <row r="68" ht="21.0" customHeight="1">
      <c r="A68" s="43"/>
      <c r="B68" s="44" t="s">
        <v>300</v>
      </c>
      <c r="C68" s="44" t="s">
        <v>145</v>
      </c>
      <c r="D68" s="45">
        <v>45082.0</v>
      </c>
      <c r="E68" s="45">
        <v>45084.0</v>
      </c>
      <c r="F68" s="44" t="s">
        <v>284</v>
      </c>
      <c r="G68" s="44" t="s">
        <v>59</v>
      </c>
      <c r="H68" s="44" t="s">
        <v>27</v>
      </c>
      <c r="I68" s="132"/>
      <c r="J68" s="47"/>
      <c r="K68" s="47"/>
      <c r="L68" s="47"/>
      <c r="M68" s="48"/>
      <c r="N68" s="61"/>
      <c r="O68" s="47"/>
      <c r="P68" s="47"/>
      <c r="Q68" s="47"/>
      <c r="R68" s="48"/>
      <c r="S68" s="50"/>
      <c r="T68" s="47"/>
      <c r="U68" s="47"/>
      <c r="V68" s="47"/>
      <c r="W68" s="48"/>
      <c r="X68" s="52"/>
      <c r="Y68" s="47"/>
      <c r="Z68" s="47"/>
      <c r="AA68" s="47"/>
      <c r="AB68" s="48"/>
      <c r="AC68" s="46">
        <v>1416.88</v>
      </c>
      <c r="AD68" s="47"/>
      <c r="AE68" s="47"/>
      <c r="AF68" s="47"/>
      <c r="AG68" s="48"/>
      <c r="AH68" s="82">
        <v>757.88</v>
      </c>
      <c r="AI68" s="47"/>
      <c r="AJ68" s="47"/>
      <c r="AK68" s="47"/>
      <c r="AL68" s="48"/>
      <c r="AM68" s="91"/>
      <c r="AN68" s="47"/>
      <c r="AO68" s="47"/>
      <c r="AP68" s="47"/>
      <c r="AQ68" s="48"/>
      <c r="AR68" s="52"/>
      <c r="AS68" s="47"/>
      <c r="AT68" s="47"/>
      <c r="AU68" s="47"/>
      <c r="AV68" s="48"/>
      <c r="AW68" s="53"/>
      <c r="AX68" s="47"/>
      <c r="AY68" s="47"/>
      <c r="AZ68" s="47"/>
      <c r="BA68" s="48"/>
      <c r="BB68" s="59"/>
      <c r="BC68" s="47"/>
      <c r="BD68" s="47"/>
      <c r="BE68" s="47"/>
      <c r="BF68" s="48"/>
      <c r="BG68" s="59"/>
      <c r="BH68" s="47"/>
      <c r="BI68" s="47"/>
      <c r="BJ68" s="47"/>
      <c r="BK68" s="56"/>
    </row>
    <row r="69" ht="21.0" customHeight="1">
      <c r="A69" s="43"/>
      <c r="B69" s="44" t="s">
        <v>302</v>
      </c>
      <c r="C69" s="44" t="s">
        <v>303</v>
      </c>
      <c r="D69" s="45">
        <v>45081.0</v>
      </c>
      <c r="E69" s="45">
        <v>45088.0</v>
      </c>
      <c r="F69" s="44" t="s">
        <v>284</v>
      </c>
      <c r="G69" s="44" t="s">
        <v>59</v>
      </c>
      <c r="H69" s="44" t="s">
        <v>27</v>
      </c>
      <c r="I69" s="60"/>
      <c r="J69" s="47"/>
      <c r="K69" s="47"/>
      <c r="L69" s="47"/>
      <c r="M69" s="48"/>
      <c r="N69" s="61"/>
      <c r="O69" s="47"/>
      <c r="P69" s="47"/>
      <c r="Q69" s="47"/>
      <c r="R69" s="48"/>
      <c r="S69" s="50"/>
      <c r="T69" s="47"/>
      <c r="U69" s="47"/>
      <c r="V69" s="47"/>
      <c r="W69" s="48"/>
      <c r="X69" s="51"/>
      <c r="Y69" s="47"/>
      <c r="Z69" s="47"/>
      <c r="AA69" s="47"/>
      <c r="AB69" s="48"/>
      <c r="AC69" s="46">
        <v>716.48</v>
      </c>
      <c r="AD69" s="47"/>
      <c r="AE69" s="47"/>
      <c r="AF69" s="47"/>
      <c r="AG69" s="48"/>
      <c r="AH69" s="82">
        <v>716.48</v>
      </c>
      <c r="AI69" s="47"/>
      <c r="AJ69" s="47"/>
      <c r="AK69" s="47"/>
      <c r="AL69" s="48"/>
      <c r="AM69" s="91"/>
      <c r="AN69" s="47"/>
      <c r="AO69" s="47"/>
      <c r="AP69" s="47"/>
      <c r="AQ69" s="48"/>
      <c r="AR69" s="52"/>
      <c r="AS69" s="47"/>
      <c r="AT69" s="47"/>
      <c r="AU69" s="47"/>
      <c r="AV69" s="48"/>
      <c r="AW69" s="53"/>
      <c r="AX69" s="47"/>
      <c r="AY69" s="47"/>
      <c r="AZ69" s="47"/>
      <c r="BA69" s="48"/>
      <c r="BB69" s="59"/>
      <c r="BC69" s="47"/>
      <c r="BD69" s="47"/>
      <c r="BE69" s="47"/>
      <c r="BF69" s="48"/>
      <c r="BG69" s="59"/>
      <c r="BH69" s="47"/>
      <c r="BI69" s="47"/>
      <c r="BJ69" s="47"/>
      <c r="BK69" s="56"/>
    </row>
    <row r="70" ht="21.0" customHeight="1">
      <c r="A70" s="43"/>
      <c r="B70" s="44" t="s">
        <v>304</v>
      </c>
      <c r="C70" s="44" t="s">
        <v>145</v>
      </c>
      <c r="D70" s="45">
        <v>45082.0</v>
      </c>
      <c r="E70" s="45">
        <v>45086.0</v>
      </c>
      <c r="F70" s="44" t="s">
        <v>284</v>
      </c>
      <c r="G70" s="44" t="s">
        <v>59</v>
      </c>
      <c r="H70" s="44" t="s">
        <v>27</v>
      </c>
      <c r="I70" s="60"/>
      <c r="J70" s="47"/>
      <c r="K70" s="47"/>
      <c r="L70" s="47"/>
      <c r="M70" s="48"/>
      <c r="N70" s="61"/>
      <c r="O70" s="47"/>
      <c r="P70" s="47"/>
      <c r="Q70" s="47"/>
      <c r="R70" s="48"/>
      <c r="S70" s="50"/>
      <c r="T70" s="47"/>
      <c r="U70" s="47"/>
      <c r="V70" s="47"/>
      <c r="W70" s="48"/>
      <c r="X70" s="51"/>
      <c r="Y70" s="47"/>
      <c r="Z70" s="47"/>
      <c r="AA70" s="47"/>
      <c r="AB70" s="48"/>
      <c r="AC70" s="46">
        <v>1388.6</v>
      </c>
      <c r="AD70" s="47"/>
      <c r="AE70" s="47"/>
      <c r="AF70" s="47"/>
      <c r="AG70" s="48"/>
      <c r="AH70" s="82">
        <v>1307.6</v>
      </c>
      <c r="AI70" s="47"/>
      <c r="AJ70" s="47"/>
      <c r="AK70" s="47"/>
      <c r="AL70" s="48"/>
      <c r="AM70" s="91"/>
      <c r="AN70" s="47"/>
      <c r="AO70" s="47"/>
      <c r="AP70" s="47"/>
      <c r="AQ70" s="48"/>
      <c r="AR70" s="52"/>
      <c r="AS70" s="47"/>
      <c r="AT70" s="47"/>
      <c r="AU70" s="47"/>
      <c r="AV70" s="48"/>
      <c r="AW70" s="53"/>
      <c r="AX70" s="47"/>
      <c r="AY70" s="47"/>
      <c r="AZ70" s="47"/>
      <c r="BA70" s="48"/>
      <c r="BB70" s="59"/>
      <c r="BC70" s="47"/>
      <c r="BD70" s="47"/>
      <c r="BE70" s="47"/>
      <c r="BF70" s="48"/>
      <c r="BG70" s="59"/>
      <c r="BH70" s="47"/>
      <c r="BI70" s="47"/>
      <c r="BJ70" s="47"/>
      <c r="BK70" s="56"/>
    </row>
    <row r="71" ht="21.0" customHeight="1">
      <c r="A71" s="43"/>
      <c r="B71" s="44" t="s">
        <v>305</v>
      </c>
      <c r="C71" s="44" t="s">
        <v>145</v>
      </c>
      <c r="D71" s="45">
        <v>45082.0</v>
      </c>
      <c r="E71" s="45">
        <v>45085.0</v>
      </c>
      <c r="F71" s="44" t="s">
        <v>284</v>
      </c>
      <c r="G71" s="44" t="s">
        <v>59</v>
      </c>
      <c r="H71" s="44" t="s">
        <v>27</v>
      </c>
      <c r="I71" s="60"/>
      <c r="J71" s="47"/>
      <c r="K71" s="47"/>
      <c r="L71" s="47"/>
      <c r="M71" s="48"/>
      <c r="N71" s="61"/>
      <c r="O71" s="47"/>
      <c r="P71" s="47"/>
      <c r="Q71" s="47"/>
      <c r="R71" s="48"/>
      <c r="S71" s="50"/>
      <c r="T71" s="47"/>
      <c r="U71" s="47"/>
      <c r="V71" s="47"/>
      <c r="W71" s="48"/>
      <c r="X71" s="51"/>
      <c r="Y71" s="47"/>
      <c r="Z71" s="47"/>
      <c r="AA71" s="47"/>
      <c r="AB71" s="48"/>
      <c r="AC71" s="46">
        <v>1042.36</v>
      </c>
      <c r="AD71" s="47"/>
      <c r="AE71" s="47"/>
      <c r="AF71" s="47"/>
      <c r="AG71" s="48"/>
      <c r="AH71" s="82">
        <v>1058.83</v>
      </c>
      <c r="AI71" s="47"/>
      <c r="AJ71" s="47"/>
      <c r="AK71" s="47"/>
      <c r="AL71" s="48"/>
      <c r="AM71" s="91"/>
      <c r="AN71" s="47"/>
      <c r="AO71" s="47"/>
      <c r="AP71" s="47"/>
      <c r="AQ71" s="48"/>
      <c r="AR71" s="52"/>
      <c r="AS71" s="47"/>
      <c r="AT71" s="47"/>
      <c r="AU71" s="47"/>
      <c r="AV71" s="48"/>
      <c r="AW71" s="53"/>
      <c r="AX71" s="47"/>
      <c r="AY71" s="47"/>
      <c r="AZ71" s="47"/>
      <c r="BA71" s="48"/>
      <c r="BB71" s="59"/>
      <c r="BC71" s="47"/>
      <c r="BD71" s="47"/>
      <c r="BE71" s="47"/>
      <c r="BF71" s="48"/>
      <c r="BG71" s="59"/>
      <c r="BH71" s="47"/>
      <c r="BI71" s="47"/>
      <c r="BJ71" s="47"/>
      <c r="BK71" s="56"/>
    </row>
    <row r="72" ht="21.0" customHeight="1">
      <c r="A72" s="43"/>
      <c r="B72" s="44" t="s">
        <v>248</v>
      </c>
      <c r="C72" s="44" t="s">
        <v>306</v>
      </c>
      <c r="D72" s="45">
        <v>45082.0</v>
      </c>
      <c r="E72" s="45">
        <v>45086.0</v>
      </c>
      <c r="F72" s="44" t="s">
        <v>284</v>
      </c>
      <c r="G72" s="44" t="s">
        <v>59</v>
      </c>
      <c r="H72" s="44" t="s">
        <v>60</v>
      </c>
      <c r="I72" s="60"/>
      <c r="J72" s="47"/>
      <c r="K72" s="47"/>
      <c r="L72" s="47"/>
      <c r="M72" s="48"/>
      <c r="N72" s="61"/>
      <c r="O72" s="47"/>
      <c r="P72" s="47"/>
      <c r="Q72" s="47"/>
      <c r="R72" s="48"/>
      <c r="S72" s="50"/>
      <c r="T72" s="47"/>
      <c r="U72" s="47"/>
      <c r="V72" s="47"/>
      <c r="W72" s="48"/>
      <c r="X72" s="51"/>
      <c r="Y72" s="47"/>
      <c r="Z72" s="47"/>
      <c r="AA72" s="47"/>
      <c r="AB72" s="48"/>
      <c r="AC72" s="46" t="s">
        <v>56</v>
      </c>
      <c r="AD72" s="47"/>
      <c r="AE72" s="47"/>
      <c r="AF72" s="47"/>
      <c r="AG72" s="48"/>
      <c r="AH72" s="82">
        <v>148.28</v>
      </c>
      <c r="AI72" s="47"/>
      <c r="AJ72" s="47"/>
      <c r="AK72" s="47"/>
      <c r="AL72" s="48"/>
      <c r="AM72" s="91"/>
      <c r="AN72" s="47"/>
      <c r="AO72" s="47"/>
      <c r="AP72" s="47"/>
      <c r="AQ72" s="48"/>
      <c r="AR72" s="52"/>
      <c r="AS72" s="47"/>
      <c r="AT72" s="47"/>
      <c r="AU72" s="47"/>
      <c r="AV72" s="48"/>
      <c r="AW72" s="53"/>
      <c r="AX72" s="47"/>
      <c r="AY72" s="47"/>
      <c r="AZ72" s="47"/>
      <c r="BA72" s="48"/>
      <c r="BB72" s="59"/>
      <c r="BC72" s="47"/>
      <c r="BD72" s="47"/>
      <c r="BE72" s="47"/>
      <c r="BF72" s="48"/>
      <c r="BG72" s="59"/>
      <c r="BH72" s="47"/>
      <c r="BI72" s="47"/>
      <c r="BJ72" s="47"/>
      <c r="BK72" s="56"/>
    </row>
    <row r="73" ht="21.0" customHeight="1">
      <c r="A73" s="43"/>
      <c r="B73" s="44" t="s">
        <v>302</v>
      </c>
      <c r="C73" s="44" t="s">
        <v>278</v>
      </c>
      <c r="D73" s="45">
        <v>45129.0</v>
      </c>
      <c r="E73" s="45">
        <v>45134.0</v>
      </c>
      <c r="F73" s="44" t="s">
        <v>279</v>
      </c>
      <c r="G73" s="44" t="s">
        <v>84</v>
      </c>
      <c r="H73" s="44" t="s">
        <v>124</v>
      </c>
      <c r="I73" s="60"/>
      <c r="J73" s="47"/>
      <c r="K73" s="47"/>
      <c r="L73" s="47"/>
      <c r="M73" s="48"/>
      <c r="N73" s="61"/>
      <c r="O73" s="47"/>
      <c r="P73" s="47"/>
      <c r="Q73" s="47"/>
      <c r="R73" s="48"/>
      <c r="S73" s="50"/>
      <c r="T73" s="47"/>
      <c r="U73" s="47"/>
      <c r="V73" s="47"/>
      <c r="W73" s="48"/>
      <c r="X73" s="51"/>
      <c r="Y73" s="47"/>
      <c r="Z73" s="47"/>
      <c r="AA73" s="47"/>
      <c r="AB73" s="48"/>
      <c r="AC73" s="50"/>
      <c r="AD73" s="47"/>
      <c r="AE73" s="47"/>
      <c r="AF73" s="47"/>
      <c r="AG73" s="48"/>
      <c r="AH73" s="52"/>
      <c r="AI73" s="47"/>
      <c r="AJ73" s="47"/>
      <c r="AK73" s="47"/>
      <c r="AL73" s="48"/>
      <c r="AM73" s="106">
        <v>1906.82</v>
      </c>
      <c r="AN73" s="47"/>
      <c r="AO73" s="47"/>
      <c r="AP73" s="47"/>
      <c r="AQ73" s="48"/>
      <c r="AR73" s="82">
        <v>2059.79</v>
      </c>
      <c r="AS73" s="47"/>
      <c r="AT73" s="47"/>
      <c r="AU73" s="47"/>
      <c r="AV73" s="48"/>
      <c r="AW73" s="53"/>
      <c r="AX73" s="47"/>
      <c r="AY73" s="47"/>
      <c r="AZ73" s="47"/>
      <c r="BA73" s="48"/>
      <c r="BB73" s="59"/>
      <c r="BC73" s="47"/>
      <c r="BD73" s="47"/>
      <c r="BE73" s="47"/>
      <c r="BF73" s="48"/>
      <c r="BG73" s="59"/>
      <c r="BH73" s="47"/>
      <c r="BI73" s="47"/>
      <c r="BJ73" s="47"/>
      <c r="BK73" s="56"/>
    </row>
    <row r="74" ht="21.0" customHeight="1">
      <c r="A74" s="43"/>
      <c r="B74" s="44" t="s">
        <v>263</v>
      </c>
      <c r="C74" s="44" t="s">
        <v>243</v>
      </c>
      <c r="D74" s="45">
        <v>45124.0</v>
      </c>
      <c r="E74" s="45">
        <v>45131.0</v>
      </c>
      <c r="F74" s="44" t="s">
        <v>30</v>
      </c>
      <c r="G74" s="44" t="s">
        <v>26</v>
      </c>
      <c r="H74" s="44" t="s">
        <v>21</v>
      </c>
      <c r="I74" s="60"/>
      <c r="J74" s="47"/>
      <c r="K74" s="47"/>
      <c r="L74" s="47"/>
      <c r="M74" s="48"/>
      <c r="N74" s="61"/>
      <c r="O74" s="47"/>
      <c r="P74" s="47"/>
      <c r="Q74" s="47"/>
      <c r="R74" s="48"/>
      <c r="S74" s="50"/>
      <c r="T74" s="47"/>
      <c r="U74" s="47"/>
      <c r="V74" s="47"/>
      <c r="W74" s="48"/>
      <c r="X74" s="51"/>
      <c r="Y74" s="47"/>
      <c r="Z74" s="47"/>
      <c r="AA74" s="47"/>
      <c r="AB74" s="48"/>
      <c r="AC74" s="50"/>
      <c r="AD74" s="47"/>
      <c r="AE74" s="47"/>
      <c r="AF74" s="47"/>
      <c r="AG74" s="48"/>
      <c r="AH74" s="52"/>
      <c r="AI74" s="47"/>
      <c r="AJ74" s="47"/>
      <c r="AK74" s="47"/>
      <c r="AL74" s="48"/>
      <c r="AM74" s="106">
        <v>1033.84</v>
      </c>
      <c r="AN74" s="47"/>
      <c r="AO74" s="47"/>
      <c r="AP74" s="47"/>
      <c r="AQ74" s="48"/>
      <c r="AR74" s="82">
        <v>1157.84</v>
      </c>
      <c r="AS74" s="47"/>
      <c r="AT74" s="47"/>
      <c r="AU74" s="47"/>
      <c r="AV74" s="48"/>
      <c r="AW74" s="53"/>
      <c r="AX74" s="47"/>
      <c r="AY74" s="47"/>
      <c r="AZ74" s="47"/>
      <c r="BA74" s="48"/>
      <c r="BB74" s="59"/>
      <c r="BC74" s="47"/>
      <c r="BD74" s="47"/>
      <c r="BE74" s="47"/>
      <c r="BF74" s="48"/>
      <c r="BG74" s="59"/>
      <c r="BH74" s="47"/>
      <c r="BI74" s="47"/>
      <c r="BJ74" s="47"/>
      <c r="BK74" s="56"/>
    </row>
    <row r="75" ht="21.0" customHeight="1">
      <c r="A75" s="43"/>
      <c r="B75" s="44" t="s">
        <v>263</v>
      </c>
      <c r="C75" s="44" t="s">
        <v>310</v>
      </c>
      <c r="D75" s="45">
        <v>45138.0</v>
      </c>
      <c r="E75" s="45">
        <v>45141.0</v>
      </c>
      <c r="F75" s="44" t="s">
        <v>50</v>
      </c>
      <c r="G75" s="44" t="s">
        <v>26</v>
      </c>
      <c r="H75" s="44" t="s">
        <v>21</v>
      </c>
      <c r="I75" s="60"/>
      <c r="J75" s="47"/>
      <c r="K75" s="47"/>
      <c r="L75" s="47"/>
      <c r="M75" s="48"/>
      <c r="N75" s="61"/>
      <c r="O75" s="47"/>
      <c r="P75" s="47"/>
      <c r="Q75" s="47"/>
      <c r="R75" s="48"/>
      <c r="S75" s="50"/>
      <c r="T75" s="47"/>
      <c r="U75" s="47"/>
      <c r="V75" s="47"/>
      <c r="W75" s="48"/>
      <c r="X75" s="51"/>
      <c r="Y75" s="47"/>
      <c r="Z75" s="47"/>
      <c r="AA75" s="47"/>
      <c r="AB75" s="48"/>
      <c r="AC75" s="50"/>
      <c r="AD75" s="47"/>
      <c r="AE75" s="47"/>
      <c r="AF75" s="47"/>
      <c r="AG75" s="48"/>
      <c r="AH75" s="52"/>
      <c r="AI75" s="47"/>
      <c r="AJ75" s="47"/>
      <c r="AK75" s="47"/>
      <c r="AL75" s="48"/>
      <c r="AM75" s="106">
        <v>1193.27</v>
      </c>
      <c r="AN75" s="47"/>
      <c r="AO75" s="47"/>
      <c r="AP75" s="47"/>
      <c r="AQ75" s="48"/>
      <c r="AR75" s="82">
        <v>1335.85</v>
      </c>
      <c r="AS75" s="47"/>
      <c r="AT75" s="47"/>
      <c r="AU75" s="47"/>
      <c r="AV75" s="48"/>
      <c r="AW75" s="53"/>
      <c r="AX75" s="47"/>
      <c r="AY75" s="47"/>
      <c r="AZ75" s="47"/>
      <c r="BA75" s="48"/>
      <c r="BB75" s="59"/>
      <c r="BC75" s="47"/>
      <c r="BD75" s="47"/>
      <c r="BE75" s="47"/>
      <c r="BF75" s="48"/>
      <c r="BG75" s="59"/>
      <c r="BH75" s="47"/>
      <c r="BI75" s="47"/>
      <c r="BJ75" s="47"/>
      <c r="BK75" s="56"/>
    </row>
    <row r="76" ht="21.0" customHeight="1">
      <c r="A76" s="43"/>
      <c r="B76" s="44" t="s">
        <v>300</v>
      </c>
      <c r="C76" s="44" t="s">
        <v>145</v>
      </c>
      <c r="D76" s="45">
        <v>45146.0</v>
      </c>
      <c r="E76" s="45">
        <v>45148.0</v>
      </c>
      <c r="F76" s="44" t="s">
        <v>284</v>
      </c>
      <c r="G76" s="44" t="s">
        <v>59</v>
      </c>
      <c r="H76" s="44" t="s">
        <v>27</v>
      </c>
      <c r="I76" s="60"/>
      <c r="J76" s="47"/>
      <c r="K76" s="47"/>
      <c r="L76" s="47"/>
      <c r="M76" s="48"/>
      <c r="N76" s="61"/>
      <c r="O76" s="47"/>
      <c r="P76" s="47"/>
      <c r="Q76" s="47"/>
      <c r="R76" s="48"/>
      <c r="S76" s="50"/>
      <c r="T76" s="47"/>
      <c r="U76" s="47"/>
      <c r="V76" s="47"/>
      <c r="W76" s="48"/>
      <c r="X76" s="51"/>
      <c r="Y76" s="47"/>
      <c r="Z76" s="47"/>
      <c r="AA76" s="47"/>
      <c r="AB76" s="48"/>
      <c r="AC76" s="50"/>
      <c r="AD76" s="47"/>
      <c r="AE76" s="47"/>
      <c r="AF76" s="47"/>
      <c r="AG76" s="48"/>
      <c r="AH76" s="52"/>
      <c r="AI76" s="47"/>
      <c r="AJ76" s="47"/>
      <c r="AK76" s="47"/>
      <c r="AL76" s="48"/>
      <c r="AM76" s="106">
        <v>846.88</v>
      </c>
      <c r="AN76" s="47"/>
      <c r="AO76" s="47"/>
      <c r="AP76" s="47"/>
      <c r="AQ76" s="48"/>
      <c r="AR76" s="82">
        <v>776.88</v>
      </c>
      <c r="AS76" s="47"/>
      <c r="AT76" s="47"/>
      <c r="AU76" s="47"/>
      <c r="AV76" s="48"/>
      <c r="AW76" s="53"/>
      <c r="AX76" s="47"/>
      <c r="AY76" s="47"/>
      <c r="AZ76" s="47"/>
      <c r="BA76" s="48"/>
      <c r="BB76" s="59"/>
      <c r="BC76" s="47"/>
      <c r="BD76" s="47"/>
      <c r="BE76" s="47"/>
      <c r="BF76" s="48"/>
      <c r="BG76" s="59"/>
      <c r="BH76" s="47"/>
      <c r="BI76" s="47"/>
      <c r="BJ76" s="47"/>
      <c r="BK76" s="56"/>
    </row>
    <row r="77" ht="21.0" customHeight="1">
      <c r="A77" s="43"/>
      <c r="B77" s="44" t="s">
        <v>314</v>
      </c>
      <c r="C77" s="44" t="s">
        <v>145</v>
      </c>
      <c r="D77" s="45">
        <v>45145.0</v>
      </c>
      <c r="E77" s="45">
        <v>45149.0</v>
      </c>
      <c r="F77" s="44" t="s">
        <v>284</v>
      </c>
      <c r="G77" s="44" t="s">
        <v>59</v>
      </c>
      <c r="H77" s="44" t="s">
        <v>27</v>
      </c>
      <c r="I77" s="60"/>
      <c r="J77" s="47"/>
      <c r="K77" s="47"/>
      <c r="L77" s="47"/>
      <c r="M77" s="48"/>
      <c r="N77" s="61"/>
      <c r="O77" s="47"/>
      <c r="P77" s="47"/>
      <c r="Q77" s="47"/>
      <c r="R77" s="48"/>
      <c r="S77" s="50"/>
      <c r="T77" s="47"/>
      <c r="U77" s="47"/>
      <c r="V77" s="47"/>
      <c r="W77" s="48"/>
      <c r="X77" s="51"/>
      <c r="Y77" s="47"/>
      <c r="Z77" s="47"/>
      <c r="AA77" s="47"/>
      <c r="AB77" s="48"/>
      <c r="AC77" s="50"/>
      <c r="AD77" s="47"/>
      <c r="AE77" s="47"/>
      <c r="AF77" s="47"/>
      <c r="AG77" s="48"/>
      <c r="AH77" s="52"/>
      <c r="AI77" s="47"/>
      <c r="AJ77" s="47"/>
      <c r="AK77" s="47"/>
      <c r="AL77" s="48"/>
      <c r="AM77" s="106">
        <v>1443.7</v>
      </c>
      <c r="AN77" s="47"/>
      <c r="AO77" s="47"/>
      <c r="AP77" s="47"/>
      <c r="AQ77" s="48"/>
      <c r="AR77" s="82">
        <v>1734.81</v>
      </c>
      <c r="AS77" s="47"/>
      <c r="AT77" s="47"/>
      <c r="AU77" s="47"/>
      <c r="AV77" s="48"/>
      <c r="AW77" s="53"/>
      <c r="AX77" s="47"/>
      <c r="AY77" s="47"/>
      <c r="AZ77" s="47"/>
      <c r="BA77" s="48"/>
      <c r="BB77" s="59"/>
      <c r="BC77" s="47"/>
      <c r="BD77" s="47"/>
      <c r="BE77" s="47"/>
      <c r="BF77" s="48"/>
      <c r="BG77" s="59"/>
      <c r="BH77" s="47"/>
      <c r="BI77" s="47"/>
      <c r="BJ77" s="47"/>
      <c r="BK77" s="56"/>
    </row>
    <row r="78" ht="21.0" customHeight="1">
      <c r="A78" s="43"/>
      <c r="B78" s="44" t="s">
        <v>110</v>
      </c>
      <c r="C78" s="44" t="s">
        <v>145</v>
      </c>
      <c r="D78" s="45">
        <v>45180.0</v>
      </c>
      <c r="E78" s="45">
        <v>45182.0</v>
      </c>
      <c r="F78" s="44" t="s">
        <v>284</v>
      </c>
      <c r="G78" s="44" t="s">
        <v>59</v>
      </c>
      <c r="H78" s="44" t="s">
        <v>27</v>
      </c>
      <c r="I78" s="60"/>
      <c r="J78" s="47"/>
      <c r="K78" s="47"/>
      <c r="L78" s="47"/>
      <c r="M78" s="48"/>
      <c r="N78" s="61"/>
      <c r="O78" s="47"/>
      <c r="P78" s="47"/>
      <c r="Q78" s="47"/>
      <c r="R78" s="48"/>
      <c r="S78" s="50"/>
      <c r="T78" s="47"/>
      <c r="U78" s="47"/>
      <c r="V78" s="47"/>
      <c r="W78" s="48"/>
      <c r="X78" s="51"/>
      <c r="Y78" s="47"/>
      <c r="Z78" s="47"/>
      <c r="AA78" s="47"/>
      <c r="AB78" s="48"/>
      <c r="AC78" s="50"/>
      <c r="AD78" s="47"/>
      <c r="AE78" s="47"/>
      <c r="AF78" s="47"/>
      <c r="AG78" s="48"/>
      <c r="AH78" s="52"/>
      <c r="AI78" s="47"/>
      <c r="AJ78" s="47"/>
      <c r="AK78" s="47"/>
      <c r="AL78" s="48"/>
      <c r="AM78" s="106">
        <v>737.78</v>
      </c>
      <c r="AN78" s="47"/>
      <c r="AO78" s="47"/>
      <c r="AP78" s="47"/>
      <c r="AQ78" s="48"/>
      <c r="AR78" s="82">
        <v>717.78</v>
      </c>
      <c r="AS78" s="47"/>
      <c r="AT78" s="47"/>
      <c r="AU78" s="47"/>
      <c r="AV78" s="48"/>
      <c r="AW78" s="53"/>
      <c r="AX78" s="47"/>
      <c r="AY78" s="47"/>
      <c r="AZ78" s="47"/>
      <c r="BA78" s="48"/>
      <c r="BB78" s="59"/>
      <c r="BC78" s="47"/>
      <c r="BD78" s="47"/>
      <c r="BE78" s="47"/>
      <c r="BF78" s="48"/>
      <c r="BG78" s="59"/>
      <c r="BH78" s="47"/>
      <c r="BI78" s="47"/>
      <c r="BJ78" s="47"/>
      <c r="BK78" s="56"/>
    </row>
    <row r="79" ht="21.0" customHeight="1">
      <c r="A79" s="43"/>
      <c r="B79" s="44" t="s">
        <v>314</v>
      </c>
      <c r="C79" s="44" t="s">
        <v>145</v>
      </c>
      <c r="D79" s="45">
        <v>45179.0</v>
      </c>
      <c r="E79" s="45">
        <v>45182.0</v>
      </c>
      <c r="F79" s="44" t="s">
        <v>284</v>
      </c>
      <c r="G79" s="44" t="s">
        <v>59</v>
      </c>
      <c r="H79" s="44" t="s">
        <v>27</v>
      </c>
      <c r="I79" s="60"/>
      <c r="J79" s="47"/>
      <c r="K79" s="47"/>
      <c r="L79" s="47"/>
      <c r="M79" s="48"/>
      <c r="N79" s="61"/>
      <c r="O79" s="47"/>
      <c r="P79" s="47"/>
      <c r="Q79" s="47"/>
      <c r="R79" s="48"/>
      <c r="S79" s="50"/>
      <c r="T79" s="47"/>
      <c r="U79" s="47"/>
      <c r="V79" s="47"/>
      <c r="W79" s="48"/>
      <c r="X79" s="51"/>
      <c r="Y79" s="47"/>
      <c r="Z79" s="47"/>
      <c r="AA79" s="47"/>
      <c r="AB79" s="48"/>
      <c r="AC79" s="50"/>
      <c r="AD79" s="47"/>
      <c r="AE79" s="47"/>
      <c r="AF79" s="47"/>
      <c r="AG79" s="48"/>
      <c r="AH79" s="52"/>
      <c r="AI79" s="47"/>
      <c r="AJ79" s="47"/>
      <c r="AK79" s="47"/>
      <c r="AL79" s="48"/>
      <c r="AM79" s="106">
        <v>1036.74</v>
      </c>
      <c r="AN79" s="47"/>
      <c r="AO79" s="47"/>
      <c r="AP79" s="47"/>
      <c r="AQ79" s="48"/>
      <c r="AR79" s="82">
        <v>1283.65</v>
      </c>
      <c r="AS79" s="47"/>
      <c r="AT79" s="47"/>
      <c r="AU79" s="47"/>
      <c r="AV79" s="48"/>
      <c r="AW79" s="53"/>
      <c r="AX79" s="47"/>
      <c r="AY79" s="47"/>
      <c r="AZ79" s="47"/>
      <c r="BA79" s="48"/>
      <c r="BB79" s="59"/>
      <c r="BC79" s="47"/>
      <c r="BD79" s="47"/>
      <c r="BE79" s="47"/>
      <c r="BF79" s="48"/>
      <c r="BG79" s="59"/>
      <c r="BH79" s="47"/>
      <c r="BI79" s="47"/>
      <c r="BJ79" s="47"/>
      <c r="BK79" s="56"/>
    </row>
    <row r="80" ht="21.0" customHeight="1">
      <c r="A80" s="43"/>
      <c r="B80" s="44" t="s">
        <v>304</v>
      </c>
      <c r="C80" s="44" t="s">
        <v>145</v>
      </c>
      <c r="D80" s="139">
        <v>45180.0</v>
      </c>
      <c r="E80" s="45">
        <v>45182.0</v>
      </c>
      <c r="F80" s="44" t="s">
        <v>284</v>
      </c>
      <c r="G80" s="44" t="s">
        <v>59</v>
      </c>
      <c r="H80" s="44" t="s">
        <v>27</v>
      </c>
      <c r="I80" s="140"/>
      <c r="J80" s="47"/>
      <c r="K80" s="47"/>
      <c r="L80" s="47"/>
      <c r="M80" s="48"/>
      <c r="N80" s="141"/>
      <c r="O80" s="47"/>
      <c r="P80" s="47"/>
      <c r="Q80" s="47"/>
      <c r="R80" s="48"/>
      <c r="S80" s="142"/>
      <c r="T80" s="47"/>
      <c r="U80" s="47"/>
      <c r="V80" s="47"/>
      <c r="W80" s="48"/>
      <c r="X80" s="143"/>
      <c r="Y80" s="47"/>
      <c r="Z80" s="47"/>
      <c r="AA80" s="47"/>
      <c r="AB80" s="48"/>
      <c r="AC80" s="50"/>
      <c r="AD80" s="47"/>
      <c r="AE80" s="47"/>
      <c r="AF80" s="47"/>
      <c r="AG80" s="48"/>
      <c r="AH80" s="52"/>
      <c r="AI80" s="47"/>
      <c r="AJ80" s="47"/>
      <c r="AK80" s="47"/>
      <c r="AL80" s="48"/>
      <c r="AM80" s="106">
        <v>796.6</v>
      </c>
      <c r="AN80" s="47"/>
      <c r="AO80" s="47"/>
      <c r="AP80" s="47"/>
      <c r="AQ80" s="48"/>
      <c r="AR80" s="82">
        <v>893.06</v>
      </c>
      <c r="AS80" s="47"/>
      <c r="AT80" s="47"/>
      <c r="AU80" s="47"/>
      <c r="AV80" s="48"/>
      <c r="AW80" s="53"/>
      <c r="AX80" s="47"/>
      <c r="AY80" s="47"/>
      <c r="AZ80" s="47"/>
      <c r="BA80" s="48"/>
      <c r="BB80" s="144"/>
      <c r="BC80" s="47"/>
      <c r="BD80" s="47"/>
      <c r="BE80" s="47"/>
      <c r="BF80" s="48"/>
      <c r="BG80" s="144"/>
      <c r="BH80" s="47"/>
      <c r="BI80" s="47"/>
      <c r="BJ80" s="47"/>
      <c r="BK80" s="56"/>
    </row>
    <row r="81" ht="21.0" customHeight="1">
      <c r="A81" s="17"/>
      <c r="B81" s="92" t="s">
        <v>317</v>
      </c>
      <c r="C81" s="92" t="s">
        <v>12</v>
      </c>
      <c r="D81" s="92" t="s">
        <v>109</v>
      </c>
      <c r="E81" s="93"/>
      <c r="F81" s="92"/>
      <c r="G81" s="92"/>
      <c r="H81" s="94" t="s">
        <v>111</v>
      </c>
      <c r="I81" s="95"/>
      <c r="J81" s="36"/>
      <c r="K81" s="36"/>
      <c r="L81" s="36"/>
      <c r="M81" s="36"/>
      <c r="N81" s="96"/>
      <c r="O81" s="36"/>
      <c r="P81" s="36"/>
      <c r="Q81" s="36"/>
      <c r="R81" s="36"/>
      <c r="S81" s="95"/>
      <c r="T81" s="36"/>
      <c r="U81" s="36"/>
      <c r="V81" s="36"/>
      <c r="W81" s="36"/>
      <c r="X81" s="96"/>
      <c r="Y81" s="36"/>
      <c r="Z81" s="36"/>
      <c r="AA81" s="36"/>
      <c r="AB81" s="36"/>
      <c r="AC81" s="96"/>
      <c r="AD81" s="36"/>
      <c r="AE81" s="36"/>
      <c r="AF81" s="36"/>
      <c r="AG81" s="36"/>
      <c r="AH81" s="96"/>
      <c r="AI81" s="36"/>
      <c r="AJ81" s="36"/>
      <c r="AK81" s="36"/>
      <c r="AL81" s="36"/>
      <c r="AM81" s="96"/>
      <c r="AN81" s="36"/>
      <c r="AO81" s="36"/>
      <c r="AP81" s="36"/>
      <c r="AQ81" s="36"/>
      <c r="AR81" s="96"/>
      <c r="AS81" s="36"/>
      <c r="AT81" s="36"/>
      <c r="AU81" s="36"/>
      <c r="AV81" s="36"/>
      <c r="AW81" s="97"/>
      <c r="AX81" s="36"/>
      <c r="AY81" s="36"/>
      <c r="AZ81" s="36"/>
      <c r="BA81" s="36"/>
      <c r="BB81" s="96"/>
      <c r="BC81" s="36"/>
      <c r="BD81" s="36"/>
      <c r="BE81" s="36"/>
      <c r="BF81" s="36"/>
      <c r="BG81" s="96"/>
      <c r="BH81" s="36"/>
      <c r="BI81" s="36"/>
      <c r="BJ81" s="36"/>
      <c r="BK81" s="42"/>
    </row>
    <row r="82" ht="21.0" customHeight="1">
      <c r="A82" s="17"/>
      <c r="B82" s="44"/>
      <c r="C82" s="44"/>
      <c r="D82" s="103"/>
      <c r="E82" s="48"/>
      <c r="F82" s="44"/>
      <c r="G82" s="44"/>
      <c r="H82" s="44"/>
      <c r="I82" s="100"/>
      <c r="J82" s="47"/>
      <c r="K82" s="47"/>
      <c r="L82" s="47"/>
      <c r="M82" s="48"/>
      <c r="N82" s="101"/>
      <c r="O82" s="47"/>
      <c r="P82" s="47"/>
      <c r="Q82" s="47"/>
      <c r="R82" s="48"/>
      <c r="S82" s="60"/>
      <c r="T82" s="47"/>
      <c r="U82" s="47"/>
      <c r="V82" s="47"/>
      <c r="W82" s="48"/>
      <c r="X82" s="51"/>
      <c r="Y82" s="47"/>
      <c r="Z82" s="47"/>
      <c r="AA82" s="47"/>
      <c r="AB82" s="48"/>
      <c r="AC82" s="108"/>
      <c r="AD82" s="47"/>
      <c r="AE82" s="47"/>
      <c r="AF82" s="47"/>
      <c r="AG82" s="48"/>
      <c r="AH82" s="108"/>
      <c r="AI82" s="47"/>
      <c r="AJ82" s="47"/>
      <c r="AK82" s="47"/>
      <c r="AL82" s="48"/>
      <c r="AM82" s="108"/>
      <c r="AN82" s="47"/>
      <c r="AO82" s="47"/>
      <c r="AP82" s="47"/>
      <c r="AQ82" s="48"/>
      <c r="AR82" s="108"/>
      <c r="AS82" s="47"/>
      <c r="AT82" s="47"/>
      <c r="AU82" s="47"/>
      <c r="AV82" s="48"/>
      <c r="AW82" s="145" t="s">
        <v>320</v>
      </c>
      <c r="AX82" s="47"/>
      <c r="AY82" s="47"/>
      <c r="AZ82" s="47"/>
      <c r="BA82" s="48"/>
      <c r="BB82" s="137">
        <v>0.0</v>
      </c>
      <c r="BC82" s="47"/>
      <c r="BD82" s="47"/>
      <c r="BE82" s="47"/>
      <c r="BF82" s="48"/>
      <c r="BG82" s="146" t="s">
        <v>22</v>
      </c>
      <c r="BH82" s="47"/>
      <c r="BI82" s="47"/>
      <c r="BJ82" s="47"/>
      <c r="BK82" s="56"/>
    </row>
    <row r="83" ht="21.0" customHeight="1">
      <c r="A83" s="17"/>
      <c r="B83" s="44"/>
      <c r="C83" s="44"/>
      <c r="D83" s="98"/>
      <c r="E83" s="48"/>
      <c r="F83" s="44"/>
      <c r="G83" s="44"/>
      <c r="H83" s="44"/>
      <c r="I83" s="100"/>
      <c r="J83" s="47"/>
      <c r="K83" s="47"/>
      <c r="L83" s="47"/>
      <c r="M83" s="48"/>
      <c r="N83" s="100"/>
      <c r="O83" s="47"/>
      <c r="P83" s="47"/>
      <c r="Q83" s="47"/>
      <c r="R83" s="48"/>
      <c r="S83" s="60"/>
      <c r="T83" s="47"/>
      <c r="U83" s="47"/>
      <c r="V83" s="47"/>
      <c r="W83" s="48"/>
      <c r="X83" s="52"/>
      <c r="Y83" s="47"/>
      <c r="Z83" s="47"/>
      <c r="AA83" s="47"/>
      <c r="AB83" s="48"/>
      <c r="AC83" s="59"/>
      <c r="AD83" s="47"/>
      <c r="AE83" s="47"/>
      <c r="AF83" s="47"/>
      <c r="AG83" s="48"/>
      <c r="AH83" s="108"/>
      <c r="AI83" s="47"/>
      <c r="AJ83" s="47"/>
      <c r="AK83" s="47"/>
      <c r="AL83" s="48"/>
      <c r="AM83" s="59"/>
      <c r="AN83" s="47"/>
      <c r="AO83" s="47"/>
      <c r="AP83" s="47"/>
      <c r="AQ83" s="48"/>
      <c r="AR83" s="59"/>
      <c r="AS83" s="47"/>
      <c r="AT83" s="47"/>
      <c r="AU83" s="47"/>
      <c r="AV83" s="48"/>
      <c r="AW83" s="147"/>
      <c r="AX83" s="47"/>
      <c r="AY83" s="47"/>
      <c r="AZ83" s="47"/>
      <c r="BA83" s="48"/>
      <c r="BB83" s="54" t="str">
        <f>X82</f>
        <v/>
      </c>
      <c r="BC83" s="47"/>
      <c r="BD83" s="47"/>
      <c r="BE83" s="47"/>
      <c r="BF83" s="48"/>
      <c r="BG83" s="146" t="s">
        <v>3</v>
      </c>
      <c r="BH83" s="47"/>
      <c r="BI83" s="47"/>
      <c r="BJ83" s="47"/>
      <c r="BK83" s="56"/>
    </row>
    <row r="84" ht="21.0" customHeight="1">
      <c r="A84" s="17"/>
      <c r="B84" s="44"/>
      <c r="C84" s="44"/>
      <c r="D84" s="98"/>
      <c r="E84" s="48"/>
      <c r="F84" s="44"/>
      <c r="G84" s="44"/>
      <c r="H84" s="44"/>
      <c r="I84" s="100"/>
      <c r="J84" s="47"/>
      <c r="K84" s="47"/>
      <c r="L84" s="47"/>
      <c r="M84" s="48"/>
      <c r="N84" s="100"/>
      <c r="O84" s="47"/>
      <c r="P84" s="47"/>
      <c r="Q84" s="47"/>
      <c r="R84" s="48"/>
      <c r="S84" s="60"/>
      <c r="T84" s="47"/>
      <c r="U84" s="47"/>
      <c r="V84" s="47"/>
      <c r="W84" s="48"/>
      <c r="X84" s="52"/>
      <c r="Y84" s="47"/>
      <c r="Z84" s="47"/>
      <c r="AA84" s="47"/>
      <c r="AB84" s="48"/>
      <c r="AC84" s="148"/>
      <c r="AD84" s="47"/>
      <c r="AE84" s="47"/>
      <c r="AF84" s="47"/>
      <c r="AG84" s="48"/>
      <c r="AH84" s="108"/>
      <c r="AI84" s="47"/>
      <c r="AJ84" s="47"/>
      <c r="AK84" s="47"/>
      <c r="AL84" s="48"/>
      <c r="AM84" s="108"/>
      <c r="AN84" s="47"/>
      <c r="AO84" s="47"/>
      <c r="AP84" s="47"/>
      <c r="AQ84" s="48"/>
      <c r="AR84" s="148"/>
      <c r="AS84" s="47"/>
      <c r="AT84" s="47"/>
      <c r="AU84" s="47"/>
      <c r="AV84" s="48"/>
      <c r="AW84" s="107"/>
      <c r="AX84" s="47"/>
      <c r="AY84" s="47"/>
      <c r="AZ84" s="47"/>
      <c r="BA84" s="48"/>
      <c r="BB84" s="149"/>
      <c r="BC84" s="47"/>
      <c r="BD84" s="47"/>
      <c r="BE84" s="47"/>
      <c r="BF84" s="48"/>
      <c r="BG84" s="146" t="s">
        <v>4</v>
      </c>
      <c r="BH84" s="47"/>
      <c r="BI84" s="47"/>
      <c r="BJ84" s="47"/>
      <c r="BK84" s="56"/>
    </row>
    <row r="85" ht="21.0" customHeight="1">
      <c r="A85" s="17"/>
      <c r="B85" s="44"/>
      <c r="C85" s="44"/>
      <c r="D85" s="98"/>
      <c r="E85" s="48"/>
      <c r="F85" s="44"/>
      <c r="G85" s="44"/>
      <c r="H85" s="44"/>
      <c r="I85" s="100"/>
      <c r="J85" s="47"/>
      <c r="K85" s="47"/>
      <c r="L85" s="47"/>
      <c r="M85" s="48"/>
      <c r="N85" s="100"/>
      <c r="O85" s="47"/>
      <c r="P85" s="47"/>
      <c r="Q85" s="47"/>
      <c r="R85" s="48"/>
      <c r="S85" s="60"/>
      <c r="T85" s="47"/>
      <c r="U85" s="47"/>
      <c r="V85" s="47"/>
      <c r="W85" s="48"/>
      <c r="X85" s="52"/>
      <c r="Y85" s="47"/>
      <c r="Z85" s="47"/>
      <c r="AA85" s="47"/>
      <c r="AB85" s="48"/>
      <c r="AC85" s="108"/>
      <c r="AD85" s="47"/>
      <c r="AE85" s="47"/>
      <c r="AF85" s="47"/>
      <c r="AG85" s="48"/>
      <c r="AH85" s="148"/>
      <c r="AI85" s="47"/>
      <c r="AJ85" s="47"/>
      <c r="AK85" s="47"/>
      <c r="AL85" s="48"/>
      <c r="AM85" s="148"/>
      <c r="AN85" s="47"/>
      <c r="AO85" s="47"/>
      <c r="AP85" s="47"/>
      <c r="AQ85" s="48"/>
      <c r="AR85" s="108"/>
      <c r="AS85" s="47"/>
      <c r="AT85" s="47"/>
      <c r="AU85" s="47"/>
      <c r="AV85" s="48"/>
      <c r="AW85" s="150"/>
      <c r="AX85" s="47"/>
      <c r="AY85" s="47"/>
      <c r="AZ85" s="47"/>
      <c r="BA85" s="48"/>
      <c r="BB85" s="151"/>
      <c r="BC85" s="47"/>
      <c r="BD85" s="47"/>
      <c r="BE85" s="47"/>
      <c r="BF85" s="48"/>
      <c r="BG85" s="99" t="s">
        <v>5</v>
      </c>
      <c r="BH85" s="47"/>
      <c r="BI85" s="47"/>
      <c r="BJ85" s="47"/>
      <c r="BK85" s="56"/>
    </row>
    <row r="86" ht="21.0" customHeight="1">
      <c r="A86" s="17"/>
      <c r="B86" s="44"/>
      <c r="C86" s="44"/>
      <c r="D86" s="98"/>
      <c r="E86" s="48"/>
      <c r="F86" s="44"/>
      <c r="G86" s="44"/>
      <c r="H86" s="44"/>
      <c r="I86" s="100"/>
      <c r="J86" s="47"/>
      <c r="K86" s="47"/>
      <c r="L86" s="47"/>
      <c r="M86" s="48"/>
      <c r="N86" s="100"/>
      <c r="O86" s="47"/>
      <c r="P86" s="47"/>
      <c r="Q86" s="47"/>
      <c r="R86" s="48"/>
      <c r="S86" s="60"/>
      <c r="T86" s="47"/>
      <c r="U86" s="47"/>
      <c r="V86" s="47"/>
      <c r="W86" s="48"/>
      <c r="X86" s="52"/>
      <c r="Y86" s="47"/>
      <c r="Z86" s="47"/>
      <c r="AA86" s="47"/>
      <c r="AB86" s="48"/>
      <c r="AC86" s="108"/>
      <c r="AD86" s="47"/>
      <c r="AE86" s="47"/>
      <c r="AF86" s="47"/>
      <c r="AG86" s="48"/>
      <c r="AH86" s="108"/>
      <c r="AI86" s="47"/>
      <c r="AJ86" s="47"/>
      <c r="AK86" s="47"/>
      <c r="AL86" s="48"/>
      <c r="AM86" s="108"/>
      <c r="AN86" s="47"/>
      <c r="AO86" s="47"/>
      <c r="AP86" s="47"/>
      <c r="AQ86" s="48"/>
      <c r="AR86" s="108"/>
      <c r="AS86" s="47"/>
      <c r="AT86" s="47"/>
      <c r="AU86" s="47"/>
      <c r="AV86" s="48"/>
      <c r="AW86" s="107"/>
      <c r="AX86" s="47"/>
      <c r="AY86" s="47"/>
      <c r="AZ86" s="47"/>
      <c r="BA86" s="48"/>
      <c r="BB86" s="108"/>
      <c r="BC86" s="47"/>
      <c r="BD86" s="47"/>
      <c r="BE86" s="47"/>
      <c r="BF86" s="48"/>
      <c r="BG86" s="108"/>
      <c r="BH86" s="47"/>
      <c r="BI86" s="47"/>
      <c r="BJ86" s="47"/>
      <c r="BK86" s="56"/>
    </row>
    <row r="87" ht="21.0" customHeight="1">
      <c r="A87" s="17"/>
      <c r="B87" s="44"/>
      <c r="C87" s="44"/>
      <c r="D87" s="98"/>
      <c r="E87" s="48"/>
      <c r="F87" s="44"/>
      <c r="G87" s="44"/>
      <c r="H87" s="44"/>
      <c r="I87" s="100"/>
      <c r="J87" s="47"/>
      <c r="K87" s="47"/>
      <c r="L87" s="47"/>
      <c r="M87" s="48"/>
      <c r="N87" s="100"/>
      <c r="O87" s="47"/>
      <c r="P87" s="47"/>
      <c r="Q87" s="47"/>
      <c r="R87" s="48"/>
      <c r="S87" s="60"/>
      <c r="T87" s="47"/>
      <c r="U87" s="47"/>
      <c r="V87" s="47"/>
      <c r="W87" s="48"/>
      <c r="X87" s="52"/>
      <c r="Y87" s="47"/>
      <c r="Z87" s="47"/>
      <c r="AA87" s="47"/>
      <c r="AB87" s="48"/>
      <c r="AC87" s="148"/>
      <c r="AD87" s="47"/>
      <c r="AE87" s="47"/>
      <c r="AF87" s="47"/>
      <c r="AG87" s="48"/>
      <c r="AH87" s="148"/>
      <c r="AI87" s="47"/>
      <c r="AJ87" s="47"/>
      <c r="AK87" s="47"/>
      <c r="AL87" s="48"/>
      <c r="AM87" s="148"/>
      <c r="AN87" s="47"/>
      <c r="AO87" s="47"/>
      <c r="AP87" s="47"/>
      <c r="AQ87" s="48"/>
      <c r="AR87" s="148"/>
      <c r="AS87" s="47"/>
      <c r="AT87" s="47"/>
      <c r="AU87" s="47"/>
      <c r="AV87" s="48"/>
      <c r="AW87" s="109"/>
      <c r="AX87" s="110"/>
      <c r="AY87" s="110"/>
      <c r="AZ87" s="110"/>
      <c r="BA87" s="111"/>
      <c r="BB87" s="112"/>
      <c r="BC87" s="110"/>
      <c r="BD87" s="110"/>
      <c r="BE87" s="110"/>
      <c r="BF87" s="111"/>
      <c r="BG87" s="112"/>
      <c r="BH87" s="110"/>
      <c r="BI87" s="110"/>
      <c r="BJ87" s="110"/>
      <c r="BK87" s="113"/>
    </row>
    <row r="88" ht="21.0" customHeight="1">
      <c r="A88" s="17"/>
      <c r="B88" s="44"/>
      <c r="C88" s="44"/>
      <c r="D88" s="98"/>
      <c r="E88" s="48"/>
      <c r="F88" s="44"/>
      <c r="G88" s="44"/>
      <c r="H88" s="44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</row>
    <row r="89" ht="21.0" customHeight="1">
      <c r="A89" s="17"/>
      <c r="B89" s="17"/>
      <c r="C89" s="17"/>
      <c r="D89" s="17"/>
      <c r="E89" s="17"/>
      <c r="F89" s="17"/>
      <c r="G89" s="17"/>
      <c r="H89" s="114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</row>
    <row r="90" ht="21.0" customHeight="1">
      <c r="A90" s="17"/>
      <c r="B90" s="17"/>
      <c r="C90" s="17"/>
      <c r="D90" s="17"/>
      <c r="E90" s="17"/>
      <c r="F90" s="17"/>
      <c r="G90" s="17"/>
      <c r="H90" s="114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</row>
    <row r="91" ht="21.0" customHeight="1">
      <c r="A91" s="17"/>
      <c r="B91" s="17"/>
      <c r="C91" s="17"/>
      <c r="D91" s="17"/>
      <c r="E91" s="17"/>
      <c r="F91" s="17"/>
      <c r="G91" s="17"/>
      <c r="H91" s="114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</row>
  </sheetData>
  <mergeCells count="937">
    <mergeCell ref="AR68:AV68"/>
    <mergeCell ref="AW68:BA68"/>
    <mergeCell ref="BB68:BF68"/>
    <mergeCell ref="BG68:BK68"/>
    <mergeCell ref="I68:M68"/>
    <mergeCell ref="N68:R68"/>
    <mergeCell ref="S68:W68"/>
    <mergeCell ref="X68:AB68"/>
    <mergeCell ref="AC68:AG68"/>
    <mergeCell ref="AH68:AL68"/>
    <mergeCell ref="AM68:AQ68"/>
    <mergeCell ref="AR69:AV69"/>
    <mergeCell ref="AW69:BA69"/>
    <mergeCell ref="BB69:BF69"/>
    <mergeCell ref="BG69:BK69"/>
    <mergeCell ref="I69:M69"/>
    <mergeCell ref="N69:R69"/>
    <mergeCell ref="S69:W69"/>
    <mergeCell ref="X69:AB69"/>
    <mergeCell ref="AC69:AG69"/>
    <mergeCell ref="AH69:AL69"/>
    <mergeCell ref="AM69:AQ69"/>
    <mergeCell ref="AR70:AV70"/>
    <mergeCell ref="AW70:BA70"/>
    <mergeCell ref="BB70:BF70"/>
    <mergeCell ref="BG70:BK70"/>
    <mergeCell ref="I70:M70"/>
    <mergeCell ref="N70:R70"/>
    <mergeCell ref="S70:W70"/>
    <mergeCell ref="X70:AB70"/>
    <mergeCell ref="AC70:AG70"/>
    <mergeCell ref="AH70:AL70"/>
    <mergeCell ref="AM70:AQ70"/>
    <mergeCell ref="AR71:AV71"/>
    <mergeCell ref="AW71:BA71"/>
    <mergeCell ref="BB71:BF71"/>
    <mergeCell ref="BG71:BK71"/>
    <mergeCell ref="I71:M71"/>
    <mergeCell ref="N71:R71"/>
    <mergeCell ref="S71:W71"/>
    <mergeCell ref="X71:AB71"/>
    <mergeCell ref="AC71:AG71"/>
    <mergeCell ref="AH71:AL71"/>
    <mergeCell ref="AM71:AQ71"/>
    <mergeCell ref="AR72:AV72"/>
    <mergeCell ref="AW72:BA72"/>
    <mergeCell ref="BB72:BF72"/>
    <mergeCell ref="BG72:BK72"/>
    <mergeCell ref="I72:M72"/>
    <mergeCell ref="N72:R72"/>
    <mergeCell ref="S72:W72"/>
    <mergeCell ref="X72:AB72"/>
    <mergeCell ref="AC72:AG72"/>
    <mergeCell ref="AH72:AL72"/>
    <mergeCell ref="AM72:AQ72"/>
    <mergeCell ref="AR73:AV73"/>
    <mergeCell ref="AW73:BA73"/>
    <mergeCell ref="BB73:BF73"/>
    <mergeCell ref="BG73:BK73"/>
    <mergeCell ref="I73:M73"/>
    <mergeCell ref="N73:R73"/>
    <mergeCell ref="S73:W73"/>
    <mergeCell ref="X73:AB73"/>
    <mergeCell ref="AC73:AG73"/>
    <mergeCell ref="AH73:AL73"/>
    <mergeCell ref="AM73:AQ73"/>
    <mergeCell ref="AR74:AV74"/>
    <mergeCell ref="AW74:BA74"/>
    <mergeCell ref="BB74:BF74"/>
    <mergeCell ref="BG74:BK74"/>
    <mergeCell ref="I74:M74"/>
    <mergeCell ref="N74:R74"/>
    <mergeCell ref="S74:W74"/>
    <mergeCell ref="X74:AB74"/>
    <mergeCell ref="AC74:AG74"/>
    <mergeCell ref="AH74:AL74"/>
    <mergeCell ref="AM74:AQ74"/>
    <mergeCell ref="AR59:AV59"/>
    <mergeCell ref="AW59:BA59"/>
    <mergeCell ref="BB59:BF59"/>
    <mergeCell ref="BG59:BK59"/>
    <mergeCell ref="I59:M59"/>
    <mergeCell ref="N59:R59"/>
    <mergeCell ref="S59:W59"/>
    <mergeCell ref="X59:AB59"/>
    <mergeCell ref="AC59:AG59"/>
    <mergeCell ref="AH59:AL59"/>
    <mergeCell ref="AM59:AQ59"/>
    <mergeCell ref="AM61:AQ61"/>
    <mergeCell ref="AR61:AV61"/>
    <mergeCell ref="AW61:BA61"/>
    <mergeCell ref="BB61:BF61"/>
    <mergeCell ref="BG61:BK61"/>
    <mergeCell ref="D61:E61"/>
    <mergeCell ref="I61:M61"/>
    <mergeCell ref="N61:R61"/>
    <mergeCell ref="S61:W61"/>
    <mergeCell ref="X61:AB61"/>
    <mergeCell ref="AC61:AG61"/>
    <mergeCell ref="AH61:AL61"/>
    <mergeCell ref="AR62:AV62"/>
    <mergeCell ref="AW62:BA62"/>
    <mergeCell ref="BB62:BF62"/>
    <mergeCell ref="BG62:BK62"/>
    <mergeCell ref="I62:M62"/>
    <mergeCell ref="N62:R62"/>
    <mergeCell ref="S62:W62"/>
    <mergeCell ref="X62:AB62"/>
    <mergeCell ref="AC62:AG62"/>
    <mergeCell ref="AH62:AL62"/>
    <mergeCell ref="AM62:AQ62"/>
    <mergeCell ref="AR81:AV81"/>
    <mergeCell ref="AW81:BA81"/>
    <mergeCell ref="BB81:BF81"/>
    <mergeCell ref="BG81:BK81"/>
    <mergeCell ref="AM86:AQ86"/>
    <mergeCell ref="AR86:AV86"/>
    <mergeCell ref="D85:E85"/>
    <mergeCell ref="D86:E86"/>
    <mergeCell ref="N86:R86"/>
    <mergeCell ref="S86:W86"/>
    <mergeCell ref="X86:AB86"/>
    <mergeCell ref="AC86:AG86"/>
    <mergeCell ref="AH86:AL86"/>
    <mergeCell ref="AM87:AQ87"/>
    <mergeCell ref="AR87:AV87"/>
    <mergeCell ref="AW87:BA87"/>
    <mergeCell ref="BB87:BF87"/>
    <mergeCell ref="BG87:BK87"/>
    <mergeCell ref="D87:E87"/>
    <mergeCell ref="I87:M87"/>
    <mergeCell ref="N87:R87"/>
    <mergeCell ref="S87:W87"/>
    <mergeCell ref="X87:AB87"/>
    <mergeCell ref="AC87:AG87"/>
    <mergeCell ref="AH87:AL87"/>
    <mergeCell ref="D88:E88"/>
    <mergeCell ref="AH82:AL82"/>
    <mergeCell ref="AM82:AQ82"/>
    <mergeCell ref="AR82:AV82"/>
    <mergeCell ref="AW82:BA82"/>
    <mergeCell ref="BB82:BF82"/>
    <mergeCell ref="BG82:BK82"/>
    <mergeCell ref="N81:R81"/>
    <mergeCell ref="S81:W81"/>
    <mergeCell ref="X81:AB81"/>
    <mergeCell ref="AC81:AG81"/>
    <mergeCell ref="AH81:AL81"/>
    <mergeCell ref="AM81:AQ81"/>
    <mergeCell ref="D82:E82"/>
    <mergeCell ref="AW83:BA83"/>
    <mergeCell ref="BB83:BF83"/>
    <mergeCell ref="BG83:BK83"/>
    <mergeCell ref="BG85:BK85"/>
    <mergeCell ref="AW86:BA86"/>
    <mergeCell ref="BB86:BF86"/>
    <mergeCell ref="BG86:BK86"/>
    <mergeCell ref="X82:AB82"/>
    <mergeCell ref="AC82:AG82"/>
    <mergeCell ref="X83:AB83"/>
    <mergeCell ref="AC83:AG83"/>
    <mergeCell ref="AH83:AL83"/>
    <mergeCell ref="AM83:AQ83"/>
    <mergeCell ref="AR83:AV83"/>
    <mergeCell ref="AC84:AG84"/>
    <mergeCell ref="AH84:AL84"/>
    <mergeCell ref="AM84:AQ84"/>
    <mergeCell ref="AR84:AV84"/>
    <mergeCell ref="AW84:BA84"/>
    <mergeCell ref="BB84:BF84"/>
    <mergeCell ref="BG84:BK84"/>
    <mergeCell ref="N82:R82"/>
    <mergeCell ref="S82:W82"/>
    <mergeCell ref="N83:R83"/>
    <mergeCell ref="S83:W83"/>
    <mergeCell ref="N84:R84"/>
    <mergeCell ref="S84:W84"/>
    <mergeCell ref="X84:AB84"/>
    <mergeCell ref="I81:M81"/>
    <mergeCell ref="I82:M82"/>
    <mergeCell ref="D83:E83"/>
    <mergeCell ref="I83:M83"/>
    <mergeCell ref="D84:E84"/>
    <mergeCell ref="I84:M84"/>
    <mergeCell ref="I85:M85"/>
    <mergeCell ref="I86:M86"/>
    <mergeCell ref="AR75:AV75"/>
    <mergeCell ref="AW75:BA75"/>
    <mergeCell ref="BB75:BF75"/>
    <mergeCell ref="BG75:BK75"/>
    <mergeCell ref="I75:M75"/>
    <mergeCell ref="N75:R75"/>
    <mergeCell ref="S75:W75"/>
    <mergeCell ref="X75:AB75"/>
    <mergeCell ref="AC75:AG75"/>
    <mergeCell ref="AH75:AL75"/>
    <mergeCell ref="AM75:AQ75"/>
    <mergeCell ref="AR76:AV76"/>
    <mergeCell ref="AW76:BA76"/>
    <mergeCell ref="BB76:BF76"/>
    <mergeCell ref="BG76:BK76"/>
    <mergeCell ref="I76:M76"/>
    <mergeCell ref="N76:R76"/>
    <mergeCell ref="S76:W76"/>
    <mergeCell ref="X76:AB76"/>
    <mergeCell ref="AC76:AG76"/>
    <mergeCell ref="AH76:AL76"/>
    <mergeCell ref="AM76:AQ76"/>
    <mergeCell ref="AR77:AV77"/>
    <mergeCell ref="AW77:BA77"/>
    <mergeCell ref="BB77:BF77"/>
    <mergeCell ref="BG77:BK77"/>
    <mergeCell ref="I77:M77"/>
    <mergeCell ref="N77:R77"/>
    <mergeCell ref="S77:W77"/>
    <mergeCell ref="X77:AB77"/>
    <mergeCell ref="AC77:AG77"/>
    <mergeCell ref="AH77:AL77"/>
    <mergeCell ref="AM77:AQ77"/>
    <mergeCell ref="AR78:AV78"/>
    <mergeCell ref="AW78:BA78"/>
    <mergeCell ref="BB78:BF78"/>
    <mergeCell ref="BG78:BK78"/>
    <mergeCell ref="I78:M78"/>
    <mergeCell ref="N78:R78"/>
    <mergeCell ref="S78:W78"/>
    <mergeCell ref="X78:AB78"/>
    <mergeCell ref="AC78:AG78"/>
    <mergeCell ref="AH78:AL78"/>
    <mergeCell ref="AM78:AQ78"/>
    <mergeCell ref="AR79:AV79"/>
    <mergeCell ref="AW79:BA79"/>
    <mergeCell ref="BB79:BF79"/>
    <mergeCell ref="BG79:BK79"/>
    <mergeCell ref="I79:M79"/>
    <mergeCell ref="N79:R79"/>
    <mergeCell ref="S79:W79"/>
    <mergeCell ref="X79:AB79"/>
    <mergeCell ref="AC79:AG79"/>
    <mergeCell ref="AH79:AL79"/>
    <mergeCell ref="AM79:AQ79"/>
    <mergeCell ref="AR80:AV80"/>
    <mergeCell ref="AW80:BA80"/>
    <mergeCell ref="BB80:BF80"/>
    <mergeCell ref="BG80:BK80"/>
    <mergeCell ref="I80:M80"/>
    <mergeCell ref="N80:R80"/>
    <mergeCell ref="S80:W80"/>
    <mergeCell ref="X80:AB80"/>
    <mergeCell ref="AC80:AG80"/>
    <mergeCell ref="AH80:AL80"/>
    <mergeCell ref="AM80:AQ80"/>
    <mergeCell ref="AW85:BA85"/>
    <mergeCell ref="BB85:BF85"/>
    <mergeCell ref="N85:R85"/>
    <mergeCell ref="S85:W85"/>
    <mergeCell ref="X85:AB85"/>
    <mergeCell ref="AC85:AG85"/>
    <mergeCell ref="AH85:AL85"/>
    <mergeCell ref="AM85:AQ85"/>
    <mergeCell ref="AR85:AV85"/>
    <mergeCell ref="I3:R3"/>
    <mergeCell ref="I4:R4"/>
    <mergeCell ref="S4:AB4"/>
    <mergeCell ref="AC4:AL4"/>
    <mergeCell ref="AW4:BK4"/>
    <mergeCell ref="E4:H5"/>
    <mergeCell ref="I5:M5"/>
    <mergeCell ref="D6:E6"/>
    <mergeCell ref="I6:M6"/>
    <mergeCell ref="I7:M7"/>
    <mergeCell ref="AH5:AL5"/>
    <mergeCell ref="AM5:AQ5"/>
    <mergeCell ref="AW5:BA5"/>
    <mergeCell ref="BB5:BF5"/>
    <mergeCell ref="BG5:BK5"/>
    <mergeCell ref="I2:N2"/>
    <mergeCell ref="O2:W2"/>
    <mergeCell ref="S3:AB3"/>
    <mergeCell ref="AC3:AL3"/>
    <mergeCell ref="AM3:AV3"/>
    <mergeCell ref="B4:C5"/>
    <mergeCell ref="AM4:AV4"/>
    <mergeCell ref="AR5:AV5"/>
    <mergeCell ref="AW6:BA6"/>
    <mergeCell ref="BB6:BF6"/>
    <mergeCell ref="BG6:BK6"/>
    <mergeCell ref="AC7:AG7"/>
    <mergeCell ref="AH7:AL7"/>
    <mergeCell ref="AW7:BA7"/>
    <mergeCell ref="BB7:BF7"/>
    <mergeCell ref="BG7:BK7"/>
    <mergeCell ref="AM7:AQ7"/>
    <mergeCell ref="AR7:AV7"/>
    <mergeCell ref="X5:AB5"/>
    <mergeCell ref="AC5:AG5"/>
    <mergeCell ref="X6:AB6"/>
    <mergeCell ref="AC6:AG6"/>
    <mergeCell ref="AH6:AL6"/>
    <mergeCell ref="AM6:AQ6"/>
    <mergeCell ref="AR6:AV6"/>
    <mergeCell ref="N5:R5"/>
    <mergeCell ref="S5:W5"/>
    <mergeCell ref="N6:R6"/>
    <mergeCell ref="S6:W6"/>
    <mergeCell ref="N7:R7"/>
    <mergeCell ref="S7:W7"/>
    <mergeCell ref="X7:AB7"/>
    <mergeCell ref="AR8:AV8"/>
    <mergeCell ref="AW8:BA8"/>
    <mergeCell ref="BB8:BF8"/>
    <mergeCell ref="BG8:BK8"/>
    <mergeCell ref="I8:M8"/>
    <mergeCell ref="N8:R8"/>
    <mergeCell ref="S8:W8"/>
    <mergeCell ref="X8:AB8"/>
    <mergeCell ref="AC8:AG8"/>
    <mergeCell ref="AH8:AL8"/>
    <mergeCell ref="AM8:AQ8"/>
    <mergeCell ref="AR9:AV9"/>
    <mergeCell ref="AW9:BA9"/>
    <mergeCell ref="BB9:BF9"/>
    <mergeCell ref="BG9:BK9"/>
    <mergeCell ref="I9:M9"/>
    <mergeCell ref="N9:R9"/>
    <mergeCell ref="S9:W9"/>
    <mergeCell ref="X9:AB9"/>
    <mergeCell ref="AC9:AG9"/>
    <mergeCell ref="AH9:AL9"/>
    <mergeCell ref="AM9:AQ9"/>
    <mergeCell ref="AR13:AV13"/>
    <mergeCell ref="AW13:BA13"/>
    <mergeCell ref="BB13:BF13"/>
    <mergeCell ref="BG13:BK13"/>
    <mergeCell ref="I13:M13"/>
    <mergeCell ref="N13:R13"/>
    <mergeCell ref="S13:W13"/>
    <mergeCell ref="X13:AB13"/>
    <mergeCell ref="AC13:AG13"/>
    <mergeCell ref="AH13:AL13"/>
    <mergeCell ref="AM13:AQ13"/>
    <mergeCell ref="AR14:AV14"/>
    <mergeCell ref="AW14:BA14"/>
    <mergeCell ref="BB14:BF14"/>
    <mergeCell ref="BG14:BK14"/>
    <mergeCell ref="I14:M14"/>
    <mergeCell ref="N14:R14"/>
    <mergeCell ref="S14:W14"/>
    <mergeCell ref="X14:AB14"/>
    <mergeCell ref="AC14:AG14"/>
    <mergeCell ref="AH14:AL14"/>
    <mergeCell ref="AM14:AQ14"/>
    <mergeCell ref="AR15:AV15"/>
    <mergeCell ref="AW15:BA15"/>
    <mergeCell ref="BB15:BF15"/>
    <mergeCell ref="BG15:BK15"/>
    <mergeCell ref="I15:M15"/>
    <mergeCell ref="N15:R15"/>
    <mergeCell ref="S15:W15"/>
    <mergeCell ref="X15:AB15"/>
    <mergeCell ref="AC15:AG15"/>
    <mergeCell ref="AH15:AL15"/>
    <mergeCell ref="AM15:AQ15"/>
    <mergeCell ref="AR16:AV16"/>
    <mergeCell ref="AW16:BA16"/>
    <mergeCell ref="BB16:BF16"/>
    <mergeCell ref="BG16:BK16"/>
    <mergeCell ref="I16:M16"/>
    <mergeCell ref="N16:R16"/>
    <mergeCell ref="S16:W16"/>
    <mergeCell ref="X16:AB16"/>
    <mergeCell ref="AC16:AG16"/>
    <mergeCell ref="AH16:AL16"/>
    <mergeCell ref="AM16:AQ16"/>
    <mergeCell ref="AR17:AV17"/>
    <mergeCell ref="AW17:BA17"/>
    <mergeCell ref="BB17:BF17"/>
    <mergeCell ref="BG17:BK17"/>
    <mergeCell ref="I17:M17"/>
    <mergeCell ref="N17:R17"/>
    <mergeCell ref="S17:W17"/>
    <mergeCell ref="X17:AB17"/>
    <mergeCell ref="AC17:AG17"/>
    <mergeCell ref="AH17:AL17"/>
    <mergeCell ref="AM17:AQ17"/>
    <mergeCell ref="AR18:AV18"/>
    <mergeCell ref="AW18:BA18"/>
    <mergeCell ref="BB18:BF18"/>
    <mergeCell ref="BG18:BK18"/>
    <mergeCell ref="I18:M18"/>
    <mergeCell ref="N18:R18"/>
    <mergeCell ref="S18:W18"/>
    <mergeCell ref="X18:AB18"/>
    <mergeCell ref="AC18:AG18"/>
    <mergeCell ref="AH18:AL18"/>
    <mergeCell ref="AM18:AQ18"/>
    <mergeCell ref="AR19:AV19"/>
    <mergeCell ref="AW19:BA19"/>
    <mergeCell ref="BB19:BF19"/>
    <mergeCell ref="BG19:BK19"/>
    <mergeCell ref="I19:M19"/>
    <mergeCell ref="N19:R19"/>
    <mergeCell ref="S19:W19"/>
    <mergeCell ref="X19:AB19"/>
    <mergeCell ref="AC19:AG19"/>
    <mergeCell ref="AH19:AL19"/>
    <mergeCell ref="AM19:AQ19"/>
    <mergeCell ref="AR20:AV20"/>
    <mergeCell ref="AW20:BA20"/>
    <mergeCell ref="BB20:BF20"/>
    <mergeCell ref="BG20:BK20"/>
    <mergeCell ref="I20:M20"/>
    <mergeCell ref="N20:R20"/>
    <mergeCell ref="S20:W20"/>
    <mergeCell ref="X20:AB20"/>
    <mergeCell ref="AC20:AG20"/>
    <mergeCell ref="AH20:AL20"/>
    <mergeCell ref="AM20:AQ20"/>
    <mergeCell ref="AR21:AV21"/>
    <mergeCell ref="AW21:BA21"/>
    <mergeCell ref="BB21:BF21"/>
    <mergeCell ref="BG21:BK21"/>
    <mergeCell ref="I21:M21"/>
    <mergeCell ref="N21:R21"/>
    <mergeCell ref="S21:W21"/>
    <mergeCell ref="X21:AB21"/>
    <mergeCell ref="AC21:AG21"/>
    <mergeCell ref="AH21:AL21"/>
    <mergeCell ref="AM21:AQ21"/>
    <mergeCell ref="AR10:AV10"/>
    <mergeCell ref="AW10:BA10"/>
    <mergeCell ref="BB10:BF10"/>
    <mergeCell ref="BG10:BK10"/>
    <mergeCell ref="I10:M10"/>
    <mergeCell ref="N10:R10"/>
    <mergeCell ref="S10:W10"/>
    <mergeCell ref="X10:AB10"/>
    <mergeCell ref="AC10:AG10"/>
    <mergeCell ref="AH10:AL10"/>
    <mergeCell ref="AM10:AQ10"/>
    <mergeCell ref="AR11:AV11"/>
    <mergeCell ref="AW11:BA11"/>
    <mergeCell ref="BB11:BF11"/>
    <mergeCell ref="BG11:BK11"/>
    <mergeCell ref="I11:M11"/>
    <mergeCell ref="N11:R11"/>
    <mergeCell ref="S11:W11"/>
    <mergeCell ref="X11:AB11"/>
    <mergeCell ref="AC11:AG11"/>
    <mergeCell ref="AH11:AL11"/>
    <mergeCell ref="AM11:AQ11"/>
    <mergeCell ref="AR12:AV12"/>
    <mergeCell ref="AW12:BA12"/>
    <mergeCell ref="BB12:BF12"/>
    <mergeCell ref="BG12:BK12"/>
    <mergeCell ref="I12:M12"/>
    <mergeCell ref="N12:R12"/>
    <mergeCell ref="S12:W12"/>
    <mergeCell ref="X12:AB12"/>
    <mergeCell ref="AC12:AG12"/>
    <mergeCell ref="AH12:AL12"/>
    <mergeCell ref="AM12:AQ12"/>
    <mergeCell ref="AR22:AV22"/>
    <mergeCell ref="AW22:BA22"/>
    <mergeCell ref="BB22:BF22"/>
    <mergeCell ref="BG22:BK22"/>
    <mergeCell ref="I22:M22"/>
    <mergeCell ref="I23:M23"/>
    <mergeCell ref="I24:M24"/>
    <mergeCell ref="I25:M25"/>
    <mergeCell ref="I26:M26"/>
    <mergeCell ref="AH23:AL23"/>
    <mergeCell ref="AM23:AQ23"/>
    <mergeCell ref="AR23:AV23"/>
    <mergeCell ref="AW23:BA23"/>
    <mergeCell ref="BB23:BF23"/>
    <mergeCell ref="BG23:BK23"/>
    <mergeCell ref="N22:R22"/>
    <mergeCell ref="S22:W22"/>
    <mergeCell ref="X22:AB22"/>
    <mergeCell ref="AC22:AG22"/>
    <mergeCell ref="AH22:AL22"/>
    <mergeCell ref="AM22:AQ22"/>
    <mergeCell ref="D23:E23"/>
    <mergeCell ref="AW24:BA24"/>
    <mergeCell ref="BB24:BF24"/>
    <mergeCell ref="BG24:BK24"/>
    <mergeCell ref="BG26:BK26"/>
    <mergeCell ref="X23:AB23"/>
    <mergeCell ref="AC23:AG23"/>
    <mergeCell ref="X24:AB24"/>
    <mergeCell ref="AC24:AG24"/>
    <mergeCell ref="AH24:AL24"/>
    <mergeCell ref="AM24:AQ24"/>
    <mergeCell ref="AR24:AV24"/>
    <mergeCell ref="AC25:AG25"/>
    <mergeCell ref="AH25:AL25"/>
    <mergeCell ref="AM25:AQ25"/>
    <mergeCell ref="AR25:AV25"/>
    <mergeCell ref="AW25:BA25"/>
    <mergeCell ref="BB25:BF25"/>
    <mergeCell ref="BG25:BK25"/>
    <mergeCell ref="N23:R23"/>
    <mergeCell ref="S23:W23"/>
    <mergeCell ref="N24:R24"/>
    <mergeCell ref="S24:W24"/>
    <mergeCell ref="N25:R25"/>
    <mergeCell ref="S25:W25"/>
    <mergeCell ref="X25:AB25"/>
    <mergeCell ref="AR29:AV29"/>
    <mergeCell ref="AW29:BA29"/>
    <mergeCell ref="BB29:BF29"/>
    <mergeCell ref="BG29:BK29"/>
    <mergeCell ref="I29:M29"/>
    <mergeCell ref="N29:R29"/>
    <mergeCell ref="S29:W29"/>
    <mergeCell ref="X29:AB29"/>
    <mergeCell ref="AC29:AG29"/>
    <mergeCell ref="AH29:AL29"/>
    <mergeCell ref="AM29:AQ29"/>
    <mergeCell ref="AR36:AV36"/>
    <mergeCell ref="AW36:BA36"/>
    <mergeCell ref="BB36:BF36"/>
    <mergeCell ref="BG36:BK36"/>
    <mergeCell ref="I36:M36"/>
    <mergeCell ref="N36:R36"/>
    <mergeCell ref="S36:W36"/>
    <mergeCell ref="X36:AB36"/>
    <mergeCell ref="AC36:AG36"/>
    <mergeCell ref="AH36:AL36"/>
    <mergeCell ref="AM36:AQ36"/>
    <mergeCell ref="AW26:BA26"/>
    <mergeCell ref="BB26:BF26"/>
    <mergeCell ref="N26:R26"/>
    <mergeCell ref="S26:W26"/>
    <mergeCell ref="X26:AB26"/>
    <mergeCell ref="AC26:AG26"/>
    <mergeCell ref="AH26:AL26"/>
    <mergeCell ref="AM26:AQ26"/>
    <mergeCell ref="AR26:AV26"/>
    <mergeCell ref="AR27:AV27"/>
    <mergeCell ref="AW27:BA27"/>
    <mergeCell ref="BB27:BF27"/>
    <mergeCell ref="BG27:BK27"/>
    <mergeCell ref="I27:M27"/>
    <mergeCell ref="N27:R27"/>
    <mergeCell ref="S27:W27"/>
    <mergeCell ref="X27:AB27"/>
    <mergeCell ref="AC27:AG27"/>
    <mergeCell ref="AH27:AL27"/>
    <mergeCell ref="AM27:AQ27"/>
    <mergeCell ref="AR28:AV28"/>
    <mergeCell ref="AW28:BA28"/>
    <mergeCell ref="BB28:BF28"/>
    <mergeCell ref="BG28:BK28"/>
    <mergeCell ref="I28:M28"/>
    <mergeCell ref="N28:R28"/>
    <mergeCell ref="S28:W28"/>
    <mergeCell ref="X28:AB28"/>
    <mergeCell ref="AC28:AG28"/>
    <mergeCell ref="AH28:AL28"/>
    <mergeCell ref="AM28:AQ28"/>
    <mergeCell ref="AR37:AV37"/>
    <mergeCell ref="AW37:BA37"/>
    <mergeCell ref="BB37:BF37"/>
    <mergeCell ref="BG37:BK37"/>
    <mergeCell ref="AR30:AV30"/>
    <mergeCell ref="AW30:BA30"/>
    <mergeCell ref="BB30:BF30"/>
    <mergeCell ref="BG30:BK30"/>
    <mergeCell ref="I30:M30"/>
    <mergeCell ref="N30:R30"/>
    <mergeCell ref="S30:W30"/>
    <mergeCell ref="X30:AB30"/>
    <mergeCell ref="AC30:AG30"/>
    <mergeCell ref="AH30:AL30"/>
    <mergeCell ref="AM30:AQ30"/>
    <mergeCell ref="AR31:AV31"/>
    <mergeCell ref="AW31:BA31"/>
    <mergeCell ref="BB31:BF31"/>
    <mergeCell ref="BG31:BK31"/>
    <mergeCell ref="I31:M31"/>
    <mergeCell ref="N31:R31"/>
    <mergeCell ref="S31:W31"/>
    <mergeCell ref="X31:AB31"/>
    <mergeCell ref="AC31:AG31"/>
    <mergeCell ref="AH31:AL31"/>
    <mergeCell ref="AM31:AQ31"/>
    <mergeCell ref="AR32:AV32"/>
    <mergeCell ref="AW32:BA32"/>
    <mergeCell ref="BB32:BF32"/>
    <mergeCell ref="BG32:BK32"/>
    <mergeCell ref="I32:M32"/>
    <mergeCell ref="N32:R32"/>
    <mergeCell ref="S32:W32"/>
    <mergeCell ref="X32:AB32"/>
    <mergeCell ref="AC32:AG32"/>
    <mergeCell ref="AH32:AL32"/>
    <mergeCell ref="AM32:AQ32"/>
    <mergeCell ref="AR33:AV33"/>
    <mergeCell ref="AW33:BA33"/>
    <mergeCell ref="BB33:BF33"/>
    <mergeCell ref="BG33:BK33"/>
    <mergeCell ref="I33:M33"/>
    <mergeCell ref="N33:R33"/>
    <mergeCell ref="S33:W33"/>
    <mergeCell ref="X33:AB33"/>
    <mergeCell ref="AC33:AG33"/>
    <mergeCell ref="AH33:AL33"/>
    <mergeCell ref="AM33:AQ33"/>
    <mergeCell ref="AR34:AV34"/>
    <mergeCell ref="AW34:BA34"/>
    <mergeCell ref="BB34:BF34"/>
    <mergeCell ref="BG34:BK34"/>
    <mergeCell ref="I34:M34"/>
    <mergeCell ref="N34:R34"/>
    <mergeCell ref="S34:W34"/>
    <mergeCell ref="X34:AB34"/>
    <mergeCell ref="AC34:AG34"/>
    <mergeCell ref="AH34:AL34"/>
    <mergeCell ref="AM34:AQ34"/>
    <mergeCell ref="AR35:AV35"/>
    <mergeCell ref="AW35:BA35"/>
    <mergeCell ref="BB35:BF35"/>
    <mergeCell ref="BG35:BK35"/>
    <mergeCell ref="I35:M35"/>
    <mergeCell ref="N35:R35"/>
    <mergeCell ref="S35:W35"/>
    <mergeCell ref="X35:AB35"/>
    <mergeCell ref="AC35:AG35"/>
    <mergeCell ref="AH35:AL35"/>
    <mergeCell ref="AM35:AQ35"/>
    <mergeCell ref="I37:M37"/>
    <mergeCell ref="I38:M38"/>
    <mergeCell ref="I39:M39"/>
    <mergeCell ref="I40:M40"/>
    <mergeCell ref="I41:M41"/>
    <mergeCell ref="AH38:AL38"/>
    <mergeCell ref="AM38:AQ38"/>
    <mergeCell ref="AR38:AV38"/>
    <mergeCell ref="AW38:BA38"/>
    <mergeCell ref="BB38:BF38"/>
    <mergeCell ref="BG38:BK38"/>
    <mergeCell ref="N37:R37"/>
    <mergeCell ref="S37:W37"/>
    <mergeCell ref="X37:AB37"/>
    <mergeCell ref="AC37:AG37"/>
    <mergeCell ref="AH37:AL37"/>
    <mergeCell ref="AM37:AQ37"/>
    <mergeCell ref="D38:E38"/>
    <mergeCell ref="AW39:BA39"/>
    <mergeCell ref="BB39:BF39"/>
    <mergeCell ref="BG39:BK39"/>
    <mergeCell ref="BG41:BK41"/>
    <mergeCell ref="X38:AB38"/>
    <mergeCell ref="AC38:AG38"/>
    <mergeCell ref="X39:AB39"/>
    <mergeCell ref="AC39:AG39"/>
    <mergeCell ref="AH39:AL39"/>
    <mergeCell ref="AM39:AQ39"/>
    <mergeCell ref="AR39:AV39"/>
    <mergeCell ref="AC40:AG40"/>
    <mergeCell ref="AH40:AL40"/>
    <mergeCell ref="AM40:AQ40"/>
    <mergeCell ref="AR40:AV40"/>
    <mergeCell ref="AW40:BA40"/>
    <mergeCell ref="BB40:BF40"/>
    <mergeCell ref="BG40:BK40"/>
    <mergeCell ref="N38:R38"/>
    <mergeCell ref="S38:W38"/>
    <mergeCell ref="N39:R39"/>
    <mergeCell ref="S39:W39"/>
    <mergeCell ref="N40:R40"/>
    <mergeCell ref="S40:W40"/>
    <mergeCell ref="X40:AB40"/>
    <mergeCell ref="AR44:AV44"/>
    <mergeCell ref="AW44:BA44"/>
    <mergeCell ref="BB44:BF44"/>
    <mergeCell ref="BG44:BK44"/>
    <mergeCell ref="I44:M44"/>
    <mergeCell ref="N44:R44"/>
    <mergeCell ref="S44:W44"/>
    <mergeCell ref="X44:AB44"/>
    <mergeCell ref="AC44:AG44"/>
    <mergeCell ref="AH44:AL44"/>
    <mergeCell ref="AM44:AQ44"/>
    <mergeCell ref="AR45:AV45"/>
    <mergeCell ref="AW45:BA45"/>
    <mergeCell ref="BB45:BF45"/>
    <mergeCell ref="BG45:BK45"/>
    <mergeCell ref="I45:M45"/>
    <mergeCell ref="N45:R45"/>
    <mergeCell ref="S45:W45"/>
    <mergeCell ref="X45:AB45"/>
    <mergeCell ref="AC45:AG45"/>
    <mergeCell ref="AH45:AL45"/>
    <mergeCell ref="AM45:AQ45"/>
    <mergeCell ref="AR46:AV46"/>
    <mergeCell ref="AW46:BA46"/>
    <mergeCell ref="BB46:BF46"/>
    <mergeCell ref="BG46:BK46"/>
    <mergeCell ref="I46:M46"/>
    <mergeCell ref="N46:R46"/>
    <mergeCell ref="S46:W46"/>
    <mergeCell ref="X46:AB46"/>
    <mergeCell ref="AC46:AG46"/>
    <mergeCell ref="AH46:AL46"/>
    <mergeCell ref="AM46:AQ46"/>
    <mergeCell ref="AR47:AV47"/>
    <mergeCell ref="AW47:BA47"/>
    <mergeCell ref="BB47:BF47"/>
    <mergeCell ref="BG47:BK47"/>
    <mergeCell ref="I47:M47"/>
    <mergeCell ref="N47:R47"/>
    <mergeCell ref="S47:W47"/>
    <mergeCell ref="X47:AB47"/>
    <mergeCell ref="AC47:AG47"/>
    <mergeCell ref="AH47:AL47"/>
    <mergeCell ref="AM47:AQ47"/>
    <mergeCell ref="AR48:AV48"/>
    <mergeCell ref="AW48:BA48"/>
    <mergeCell ref="BB48:BF48"/>
    <mergeCell ref="BG48:BK48"/>
    <mergeCell ref="I48:M48"/>
    <mergeCell ref="N48:R48"/>
    <mergeCell ref="S48:W48"/>
    <mergeCell ref="X48:AB48"/>
    <mergeCell ref="AC48:AG48"/>
    <mergeCell ref="AH48:AL48"/>
    <mergeCell ref="AM48:AQ48"/>
    <mergeCell ref="AR49:AV49"/>
    <mergeCell ref="AW49:BA49"/>
    <mergeCell ref="BB49:BF49"/>
    <mergeCell ref="BG49:BK49"/>
    <mergeCell ref="I49:M49"/>
    <mergeCell ref="N49:R49"/>
    <mergeCell ref="S49:W49"/>
    <mergeCell ref="X49:AB49"/>
    <mergeCell ref="AC49:AG49"/>
    <mergeCell ref="AH49:AL49"/>
    <mergeCell ref="AM49:AQ49"/>
    <mergeCell ref="AR50:AV50"/>
    <mergeCell ref="AW50:BA50"/>
    <mergeCell ref="BB50:BF50"/>
    <mergeCell ref="BG50:BK50"/>
    <mergeCell ref="I50:M50"/>
    <mergeCell ref="N50:R50"/>
    <mergeCell ref="S50:W50"/>
    <mergeCell ref="X50:AB50"/>
    <mergeCell ref="AC50:AG50"/>
    <mergeCell ref="AH50:AL50"/>
    <mergeCell ref="AM50:AQ50"/>
    <mergeCell ref="AR51:AV51"/>
    <mergeCell ref="AW51:BA51"/>
    <mergeCell ref="BB51:BF51"/>
    <mergeCell ref="BG51:BK51"/>
    <mergeCell ref="I51:M51"/>
    <mergeCell ref="N51:R51"/>
    <mergeCell ref="S51:W51"/>
    <mergeCell ref="X51:AB51"/>
    <mergeCell ref="AC51:AG51"/>
    <mergeCell ref="AH51:AL51"/>
    <mergeCell ref="AM51:AQ51"/>
    <mergeCell ref="AR52:AV52"/>
    <mergeCell ref="AW52:BA52"/>
    <mergeCell ref="BB52:BF52"/>
    <mergeCell ref="BG52:BK52"/>
    <mergeCell ref="I52:M52"/>
    <mergeCell ref="N52:R52"/>
    <mergeCell ref="S52:W52"/>
    <mergeCell ref="X52:AB52"/>
    <mergeCell ref="AC52:AG52"/>
    <mergeCell ref="AH52:AL52"/>
    <mergeCell ref="AM52:AQ52"/>
    <mergeCell ref="AR53:AV53"/>
    <mergeCell ref="AW53:BA53"/>
    <mergeCell ref="BB53:BF53"/>
    <mergeCell ref="BG53:BK53"/>
    <mergeCell ref="I53:M53"/>
    <mergeCell ref="N53:R53"/>
    <mergeCell ref="S53:W53"/>
    <mergeCell ref="X53:AB53"/>
    <mergeCell ref="AC53:AG53"/>
    <mergeCell ref="AH53:AL53"/>
    <mergeCell ref="AM53:AQ53"/>
    <mergeCell ref="AR54:AV54"/>
    <mergeCell ref="AW54:BA54"/>
    <mergeCell ref="BB54:BF54"/>
    <mergeCell ref="BG54:BK54"/>
    <mergeCell ref="I54:M54"/>
    <mergeCell ref="N54:R54"/>
    <mergeCell ref="S54:W54"/>
    <mergeCell ref="X54:AB54"/>
    <mergeCell ref="AC54:AG54"/>
    <mergeCell ref="AH54:AL54"/>
    <mergeCell ref="AM54:AQ54"/>
    <mergeCell ref="AR55:AV55"/>
    <mergeCell ref="AW55:BA55"/>
    <mergeCell ref="BB55:BF55"/>
    <mergeCell ref="BG55:BK55"/>
    <mergeCell ref="I55:M55"/>
    <mergeCell ref="N55:R55"/>
    <mergeCell ref="S55:W55"/>
    <mergeCell ref="X55:AB55"/>
    <mergeCell ref="AC55:AG55"/>
    <mergeCell ref="AH55:AL55"/>
    <mergeCell ref="AM55:AQ55"/>
    <mergeCell ref="AR56:AV56"/>
    <mergeCell ref="AW56:BA56"/>
    <mergeCell ref="BB56:BF56"/>
    <mergeCell ref="BG56:BK56"/>
    <mergeCell ref="I56:M56"/>
    <mergeCell ref="N56:R56"/>
    <mergeCell ref="S56:W56"/>
    <mergeCell ref="X56:AB56"/>
    <mergeCell ref="AC56:AG56"/>
    <mergeCell ref="AH56:AL56"/>
    <mergeCell ref="AM56:AQ56"/>
    <mergeCell ref="AR57:AV57"/>
    <mergeCell ref="AW57:BA57"/>
    <mergeCell ref="BB57:BF57"/>
    <mergeCell ref="BG57:BK57"/>
    <mergeCell ref="I57:M57"/>
    <mergeCell ref="N57:R57"/>
    <mergeCell ref="S57:W57"/>
    <mergeCell ref="X57:AB57"/>
    <mergeCell ref="AC57:AG57"/>
    <mergeCell ref="AH57:AL57"/>
    <mergeCell ref="AM57:AQ57"/>
    <mergeCell ref="AR58:AV58"/>
    <mergeCell ref="AW58:BA58"/>
    <mergeCell ref="BB58:BF58"/>
    <mergeCell ref="BG58:BK58"/>
    <mergeCell ref="I58:M58"/>
    <mergeCell ref="N58:R58"/>
    <mergeCell ref="S58:W58"/>
    <mergeCell ref="X58:AB58"/>
    <mergeCell ref="AC58:AG58"/>
    <mergeCell ref="AH58:AL58"/>
    <mergeCell ref="AM58:AQ58"/>
    <mergeCell ref="AW41:BA41"/>
    <mergeCell ref="BB41:BF41"/>
    <mergeCell ref="N41:R41"/>
    <mergeCell ref="S41:W41"/>
    <mergeCell ref="X41:AB41"/>
    <mergeCell ref="AC41:AG41"/>
    <mergeCell ref="AH41:AL41"/>
    <mergeCell ref="AM41:AQ41"/>
    <mergeCell ref="AR41:AV41"/>
    <mergeCell ref="AR42:AV42"/>
    <mergeCell ref="AW42:BA42"/>
    <mergeCell ref="BB42:BF42"/>
    <mergeCell ref="BG42:BK42"/>
    <mergeCell ref="I42:M42"/>
    <mergeCell ref="N42:R42"/>
    <mergeCell ref="S42:W42"/>
    <mergeCell ref="X42:AB42"/>
    <mergeCell ref="AC42:AG42"/>
    <mergeCell ref="AH42:AL42"/>
    <mergeCell ref="AM42:AQ42"/>
    <mergeCell ref="AR43:AV43"/>
    <mergeCell ref="AW43:BA43"/>
    <mergeCell ref="BB43:BF43"/>
    <mergeCell ref="BG43:BK43"/>
    <mergeCell ref="I43:M43"/>
    <mergeCell ref="N43:R43"/>
    <mergeCell ref="S43:W43"/>
    <mergeCell ref="X43:AB43"/>
    <mergeCell ref="AC43:AG43"/>
    <mergeCell ref="AH43:AL43"/>
    <mergeCell ref="AM43:AQ43"/>
    <mergeCell ref="AR60:AV60"/>
    <mergeCell ref="AW60:BA60"/>
    <mergeCell ref="BB60:BF60"/>
    <mergeCell ref="BG60:BK60"/>
    <mergeCell ref="I60:M60"/>
    <mergeCell ref="N60:R60"/>
    <mergeCell ref="S60:W60"/>
    <mergeCell ref="X60:AB60"/>
    <mergeCell ref="AC60:AG60"/>
    <mergeCell ref="AH60:AL60"/>
    <mergeCell ref="AM60:AQ60"/>
    <mergeCell ref="AR63:AV63"/>
    <mergeCell ref="AW63:BA63"/>
    <mergeCell ref="BB63:BF63"/>
    <mergeCell ref="BG63:BK63"/>
    <mergeCell ref="I63:M63"/>
    <mergeCell ref="N63:R63"/>
    <mergeCell ref="S63:W63"/>
    <mergeCell ref="X63:AB63"/>
    <mergeCell ref="AC63:AG63"/>
    <mergeCell ref="AH63:AL63"/>
    <mergeCell ref="AM63:AQ63"/>
    <mergeCell ref="AR64:AV64"/>
    <mergeCell ref="AW64:BA64"/>
    <mergeCell ref="BB64:BF64"/>
    <mergeCell ref="BG64:BK64"/>
    <mergeCell ref="I64:M64"/>
    <mergeCell ref="N64:R64"/>
    <mergeCell ref="S64:W64"/>
    <mergeCell ref="X64:AB64"/>
    <mergeCell ref="AC64:AG64"/>
    <mergeCell ref="AH64:AL64"/>
    <mergeCell ref="AM64:AQ64"/>
    <mergeCell ref="AR65:AV65"/>
    <mergeCell ref="AW65:BA65"/>
    <mergeCell ref="BB65:BF65"/>
    <mergeCell ref="BG65:BK65"/>
    <mergeCell ref="I65:M65"/>
    <mergeCell ref="N65:R65"/>
    <mergeCell ref="S65:W65"/>
    <mergeCell ref="X65:AB65"/>
    <mergeCell ref="AC65:AG65"/>
    <mergeCell ref="AH65:AL65"/>
    <mergeCell ref="AM65:AQ65"/>
    <mergeCell ref="AR66:AV66"/>
    <mergeCell ref="AW66:BA66"/>
    <mergeCell ref="BB66:BF66"/>
    <mergeCell ref="BG66:BK66"/>
    <mergeCell ref="I66:M66"/>
    <mergeCell ref="N66:R66"/>
    <mergeCell ref="S66:W66"/>
    <mergeCell ref="X66:AB66"/>
    <mergeCell ref="AC66:AG66"/>
    <mergeCell ref="AH66:AL66"/>
    <mergeCell ref="AM66:AQ66"/>
    <mergeCell ref="AR67:AV67"/>
    <mergeCell ref="AW67:BA67"/>
    <mergeCell ref="BB67:BF67"/>
    <mergeCell ref="BG67:BK67"/>
    <mergeCell ref="I67:M67"/>
    <mergeCell ref="N67:R67"/>
    <mergeCell ref="S67:W67"/>
    <mergeCell ref="X67:AB67"/>
    <mergeCell ref="AC67:AG67"/>
    <mergeCell ref="AH67:AL67"/>
    <mergeCell ref="AM67:AQ67"/>
  </mergeCells>
  <printOptions gridLines="1" horizontalCentered="1"/>
  <pageMargins bottom="0.75" footer="0.0" header="0.0" left="0.25" right="0.25" top="0.75"/>
  <pageSetup fitToHeight="0" paperSize="3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F5C"/>
    <outlinePr summaryBelow="0" summaryRight="0"/>
  </sheetPr>
  <sheetViews>
    <sheetView showGridLines="0" workbookViewId="0"/>
  </sheetViews>
  <sheetFormatPr customHeight="1" defaultColWidth="13.44" defaultRowHeight="15.0"/>
  <cols>
    <col customWidth="1" min="1" max="1" width="3.78"/>
    <col customWidth="1" min="2" max="2" width="19.11"/>
    <col customWidth="1" min="3" max="3" width="15.78"/>
    <col customWidth="1" min="4" max="4" width="8.0"/>
    <col customWidth="1" min="5" max="5" width="6.78"/>
    <col customWidth="1" min="6" max="6" width="12.44"/>
    <col customWidth="1" min="7" max="7" width="12.33"/>
    <col customWidth="1" min="8" max="8" width="4.0"/>
    <col customWidth="1" min="9" max="9" width="2.56"/>
    <col customWidth="1" min="10" max="10" width="2.33"/>
    <col customWidth="1" min="11" max="11" width="2.22"/>
    <col customWidth="1" min="12" max="12" width="2.56"/>
    <col customWidth="1" min="13" max="13" width="1.89"/>
    <col customWidth="1" min="14" max="14" width="3.0"/>
    <col customWidth="1" min="15" max="15" width="2.33"/>
    <col customWidth="1" min="16" max="16" width="2.0"/>
    <col customWidth="1" min="17" max="17" width="2.22"/>
    <col customWidth="1" min="18" max="18" width="1.0"/>
    <col customWidth="1" min="19" max="63" width="3.0"/>
  </cols>
  <sheetData>
    <row r="1" ht="21.0" customHeight="1">
      <c r="A1" s="1"/>
      <c r="B1" s="2"/>
      <c r="C1" s="3"/>
      <c r="D1" s="3"/>
      <c r="E1" s="3"/>
      <c r="F1" s="3"/>
      <c r="G1" s="4"/>
      <c r="H1" s="4"/>
      <c r="I1" s="5"/>
      <c r="J1" s="6"/>
      <c r="K1" s="7"/>
      <c r="L1" s="8"/>
      <c r="M1" s="7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1"/>
      <c r="Z1" s="11"/>
      <c r="AA1" s="11"/>
      <c r="AB1" s="11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</row>
    <row r="2" ht="21.0" customHeight="1">
      <c r="A2" s="10"/>
      <c r="B2" s="167" t="s">
        <v>341</v>
      </c>
      <c r="C2" s="12"/>
      <c r="D2" s="12"/>
      <c r="E2" s="12"/>
      <c r="F2" s="12"/>
      <c r="G2" s="12"/>
      <c r="H2" s="12"/>
      <c r="I2" s="13"/>
      <c r="J2" s="14"/>
      <c r="K2" s="14"/>
      <c r="L2" s="14"/>
      <c r="M2" s="14"/>
      <c r="N2" s="14"/>
      <c r="O2" s="15"/>
      <c r="P2" s="14"/>
      <c r="Q2" s="14"/>
      <c r="R2" s="14"/>
      <c r="S2" s="14"/>
      <c r="T2" s="14"/>
      <c r="U2" s="14"/>
      <c r="V2" s="14"/>
      <c r="W2" s="14"/>
      <c r="X2" s="16"/>
      <c r="Y2" s="16"/>
      <c r="Z2" s="16"/>
      <c r="AA2" s="16"/>
      <c r="AB2" s="16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</row>
    <row r="3" ht="21.0" customHeight="1">
      <c r="A3" s="17"/>
      <c r="B3" s="18"/>
      <c r="C3" s="18"/>
      <c r="D3" s="18"/>
      <c r="E3" s="18"/>
      <c r="F3" s="18"/>
      <c r="G3" s="18"/>
      <c r="H3" s="19"/>
      <c r="I3" s="18"/>
      <c r="J3" s="18"/>
      <c r="K3" s="18"/>
      <c r="L3" s="18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</row>
    <row r="4" ht="21.0" customHeight="1">
      <c r="A4" s="20"/>
      <c r="B4" s="21"/>
      <c r="D4" s="21"/>
      <c r="E4" s="21"/>
      <c r="I4" s="22" t="s">
        <v>2</v>
      </c>
      <c r="R4" s="23"/>
      <c r="S4" s="22" t="s">
        <v>3</v>
      </c>
      <c r="AB4" s="23"/>
      <c r="AC4" s="24" t="s">
        <v>4</v>
      </c>
      <c r="AL4" s="23"/>
      <c r="AM4" s="24" t="s">
        <v>5</v>
      </c>
      <c r="AV4" s="23"/>
      <c r="AW4" s="25" t="s">
        <v>345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7"/>
    </row>
    <row r="5" ht="21.0" customHeight="1">
      <c r="A5" s="28"/>
      <c r="D5" s="21"/>
      <c r="I5" s="29" t="s">
        <v>7</v>
      </c>
      <c r="J5" s="30"/>
      <c r="K5" s="30"/>
      <c r="L5" s="30"/>
      <c r="M5" s="30"/>
      <c r="N5" s="29" t="s">
        <v>8</v>
      </c>
      <c r="O5" s="30"/>
      <c r="P5" s="30"/>
      <c r="Q5" s="30"/>
      <c r="R5" s="30"/>
      <c r="S5" s="29" t="s">
        <v>7</v>
      </c>
      <c r="T5" s="30"/>
      <c r="U5" s="30"/>
      <c r="V5" s="30"/>
      <c r="W5" s="30"/>
      <c r="X5" s="29" t="s">
        <v>8</v>
      </c>
      <c r="Y5" s="30"/>
      <c r="Z5" s="30"/>
      <c r="AA5" s="30"/>
      <c r="AB5" s="30"/>
      <c r="AC5" s="29" t="s">
        <v>7</v>
      </c>
      <c r="AD5" s="30"/>
      <c r="AE5" s="30"/>
      <c r="AF5" s="30"/>
      <c r="AG5" s="30"/>
      <c r="AH5" s="29" t="s">
        <v>8</v>
      </c>
      <c r="AI5" s="30"/>
      <c r="AJ5" s="30"/>
      <c r="AK5" s="30"/>
      <c r="AL5" s="30"/>
      <c r="AM5" s="29" t="s">
        <v>7</v>
      </c>
      <c r="AN5" s="30"/>
      <c r="AO5" s="30"/>
      <c r="AP5" s="30"/>
      <c r="AQ5" s="30"/>
      <c r="AR5" s="29" t="s">
        <v>8</v>
      </c>
      <c r="AS5" s="30"/>
      <c r="AT5" s="30"/>
      <c r="AU5" s="30"/>
      <c r="AV5" s="30"/>
      <c r="AW5" s="31" t="s">
        <v>9</v>
      </c>
      <c r="AX5" s="30"/>
      <c r="AY5" s="30"/>
      <c r="AZ5" s="30"/>
      <c r="BA5" s="30"/>
      <c r="BB5" s="29" t="s">
        <v>8</v>
      </c>
      <c r="BC5" s="30"/>
      <c r="BD5" s="30"/>
      <c r="BE5" s="30"/>
      <c r="BF5" s="30"/>
      <c r="BG5" s="29" t="s">
        <v>10</v>
      </c>
      <c r="BH5" s="30"/>
      <c r="BI5" s="30"/>
      <c r="BJ5" s="30"/>
      <c r="BK5" s="32"/>
    </row>
    <row r="6" ht="21.0" customHeight="1">
      <c r="A6" s="33"/>
      <c r="B6" s="169" t="s">
        <v>349</v>
      </c>
      <c r="C6" s="169" t="s">
        <v>12</v>
      </c>
      <c r="D6" s="170" t="s">
        <v>13</v>
      </c>
      <c r="E6" s="36"/>
      <c r="F6" s="169" t="s">
        <v>14</v>
      </c>
      <c r="G6" s="169" t="s">
        <v>15</v>
      </c>
      <c r="H6" s="169" t="s">
        <v>16</v>
      </c>
      <c r="I6" s="171"/>
      <c r="J6" s="36"/>
      <c r="K6" s="36"/>
      <c r="L6" s="36"/>
      <c r="M6" s="36"/>
      <c r="N6" s="172"/>
      <c r="O6" s="36"/>
      <c r="P6" s="36"/>
      <c r="Q6" s="36"/>
      <c r="R6" s="36"/>
      <c r="S6" s="171"/>
      <c r="T6" s="36"/>
      <c r="U6" s="36"/>
      <c r="V6" s="36"/>
      <c r="W6" s="36"/>
      <c r="X6" s="172"/>
      <c r="Y6" s="36"/>
      <c r="Z6" s="36"/>
      <c r="AA6" s="36"/>
      <c r="AB6" s="36"/>
      <c r="AC6" s="172"/>
      <c r="AD6" s="36"/>
      <c r="AE6" s="36"/>
      <c r="AF6" s="36"/>
      <c r="AG6" s="36"/>
      <c r="AH6" s="172"/>
      <c r="AI6" s="36"/>
      <c r="AJ6" s="36"/>
      <c r="AK6" s="36"/>
      <c r="AL6" s="36"/>
      <c r="AM6" s="172"/>
      <c r="AN6" s="36"/>
      <c r="AO6" s="36"/>
      <c r="AP6" s="36"/>
      <c r="AQ6" s="36"/>
      <c r="AR6" s="172"/>
      <c r="AS6" s="36"/>
      <c r="AT6" s="36"/>
      <c r="AU6" s="36"/>
      <c r="AV6" s="36"/>
      <c r="AW6" s="174">
        <v>74300.0</v>
      </c>
      <c r="AX6" s="36"/>
      <c r="AY6" s="36"/>
      <c r="AZ6" s="36"/>
      <c r="BA6" s="36"/>
      <c r="BB6" s="40">
        <f>sum(BB7:BF39)</f>
        <v>28627.5</v>
      </c>
      <c r="BC6" s="36"/>
      <c r="BD6" s="36"/>
      <c r="BE6" s="36"/>
      <c r="BF6" s="36"/>
      <c r="BG6" s="175">
        <f>AW6-BB6</f>
        <v>45672.5</v>
      </c>
      <c r="BH6" s="36"/>
      <c r="BI6" s="36"/>
      <c r="BJ6" s="36"/>
      <c r="BK6" s="42"/>
    </row>
    <row r="7" ht="21.0" customHeight="1">
      <c r="A7" s="43"/>
      <c r="B7" s="44" t="s">
        <v>128</v>
      </c>
      <c r="C7" s="44" t="s">
        <v>29</v>
      </c>
      <c r="D7" s="45">
        <v>44872.0</v>
      </c>
      <c r="E7" s="45">
        <v>44875.0</v>
      </c>
      <c r="F7" s="44" t="s">
        <v>30</v>
      </c>
      <c r="G7" s="44" t="s">
        <v>26</v>
      </c>
      <c r="H7" s="44" t="s">
        <v>21</v>
      </c>
      <c r="I7" s="46">
        <v>1076.33</v>
      </c>
      <c r="J7" s="47"/>
      <c r="K7" s="47"/>
      <c r="L7" s="47"/>
      <c r="M7" s="48"/>
      <c r="N7" s="105">
        <v>1126.06</v>
      </c>
      <c r="O7" s="47"/>
      <c r="P7" s="47"/>
      <c r="Q7" s="47"/>
      <c r="R7" s="48"/>
      <c r="S7" s="50"/>
      <c r="T7" s="47"/>
      <c r="U7" s="47"/>
      <c r="V7" s="47"/>
      <c r="W7" s="48"/>
      <c r="X7" s="51"/>
      <c r="Y7" s="47"/>
      <c r="Z7" s="47"/>
      <c r="AA7" s="47"/>
      <c r="AB7" s="48"/>
      <c r="AC7" s="50"/>
      <c r="AD7" s="47"/>
      <c r="AE7" s="47"/>
      <c r="AF7" s="47"/>
      <c r="AG7" s="48"/>
      <c r="AH7" s="52"/>
      <c r="AI7" s="47"/>
      <c r="AJ7" s="47"/>
      <c r="AK7" s="47"/>
      <c r="AL7" s="48"/>
      <c r="AM7" s="50"/>
      <c r="AN7" s="47"/>
      <c r="AO7" s="47"/>
      <c r="AP7" s="47"/>
      <c r="AQ7" s="48"/>
      <c r="AR7" s="51"/>
      <c r="AS7" s="47"/>
      <c r="AT7" s="47"/>
      <c r="AU7" s="47"/>
      <c r="AV7" s="48"/>
      <c r="AW7" s="53" t="s">
        <v>351</v>
      </c>
      <c r="AX7" s="47"/>
      <c r="AY7" s="47"/>
      <c r="AZ7" s="47"/>
      <c r="BA7" s="48"/>
      <c r="BB7" s="54">
        <f>SUM(N7:R39)</f>
        <v>1126.06</v>
      </c>
      <c r="BC7" s="47"/>
      <c r="BD7" s="47"/>
      <c r="BE7" s="47"/>
      <c r="BF7" s="48"/>
      <c r="BG7" s="55" t="s">
        <v>22</v>
      </c>
      <c r="BH7" s="47"/>
      <c r="BI7" s="47"/>
      <c r="BJ7" s="47"/>
      <c r="BK7" s="56"/>
    </row>
    <row r="8" ht="21.0" customHeight="1">
      <c r="A8" s="43"/>
      <c r="B8" s="44" t="s">
        <v>352</v>
      </c>
      <c r="C8" s="44" t="s">
        <v>227</v>
      </c>
      <c r="D8" s="45">
        <v>44991.0</v>
      </c>
      <c r="E8" s="45">
        <v>44994.0</v>
      </c>
      <c r="F8" s="44" t="s">
        <v>36</v>
      </c>
      <c r="G8" s="44" t="s">
        <v>59</v>
      </c>
      <c r="H8" s="44" t="s">
        <v>27</v>
      </c>
      <c r="I8" s="50"/>
      <c r="J8" s="47"/>
      <c r="K8" s="47"/>
      <c r="L8" s="47"/>
      <c r="M8" s="48"/>
      <c r="N8" s="51"/>
      <c r="O8" s="47"/>
      <c r="P8" s="47"/>
      <c r="Q8" s="47"/>
      <c r="R8" s="48"/>
      <c r="S8" s="46">
        <v>1391.08</v>
      </c>
      <c r="T8" s="47"/>
      <c r="U8" s="47"/>
      <c r="V8" s="47"/>
      <c r="W8" s="48"/>
      <c r="X8" s="105">
        <v>1391.08</v>
      </c>
      <c r="Y8" s="47"/>
      <c r="Z8" s="47"/>
      <c r="AA8" s="47"/>
      <c r="AB8" s="48"/>
      <c r="AC8" s="50"/>
      <c r="AD8" s="47"/>
      <c r="AE8" s="47"/>
      <c r="AF8" s="47"/>
      <c r="AG8" s="48"/>
      <c r="AH8" s="51"/>
      <c r="AI8" s="47"/>
      <c r="AJ8" s="47"/>
      <c r="AK8" s="47"/>
      <c r="AL8" s="48"/>
      <c r="AM8" s="50"/>
      <c r="AN8" s="47"/>
      <c r="AO8" s="47"/>
      <c r="AP8" s="47"/>
      <c r="AQ8" s="48"/>
      <c r="AR8" s="51"/>
      <c r="AS8" s="47"/>
      <c r="AT8" s="47"/>
      <c r="AU8" s="47"/>
      <c r="AV8" s="48"/>
      <c r="AW8" s="53" t="s">
        <v>353</v>
      </c>
      <c r="AX8" s="47"/>
      <c r="AY8" s="47"/>
      <c r="AZ8" s="47"/>
      <c r="BA8" s="48"/>
      <c r="BB8" s="54">
        <f>SUM(X7:AB39)</f>
        <v>8089.85</v>
      </c>
      <c r="BC8" s="47"/>
      <c r="BD8" s="47"/>
      <c r="BE8" s="47"/>
      <c r="BF8" s="48"/>
      <c r="BG8" s="55" t="s">
        <v>3</v>
      </c>
      <c r="BH8" s="47"/>
      <c r="BI8" s="47"/>
      <c r="BJ8" s="47"/>
      <c r="BK8" s="56"/>
    </row>
    <row r="9" ht="21.0" customHeight="1">
      <c r="A9" s="43"/>
      <c r="B9" s="44" t="s">
        <v>226</v>
      </c>
      <c r="C9" s="44" t="s">
        <v>227</v>
      </c>
      <c r="D9" s="45">
        <v>44991.0</v>
      </c>
      <c r="E9" s="45">
        <v>44995.0</v>
      </c>
      <c r="F9" s="44" t="s">
        <v>36</v>
      </c>
      <c r="G9" s="44" t="s">
        <v>59</v>
      </c>
      <c r="H9" s="44" t="s">
        <v>27</v>
      </c>
      <c r="I9" s="50"/>
      <c r="J9" s="47"/>
      <c r="K9" s="47"/>
      <c r="L9" s="47"/>
      <c r="M9" s="48"/>
      <c r="N9" s="51"/>
      <c r="O9" s="47"/>
      <c r="P9" s="47"/>
      <c r="Q9" s="47"/>
      <c r="R9" s="48"/>
      <c r="S9" s="46">
        <v>1434.4</v>
      </c>
      <c r="T9" s="47"/>
      <c r="U9" s="47"/>
      <c r="V9" s="47"/>
      <c r="W9" s="48"/>
      <c r="X9" s="105">
        <v>1336.25</v>
      </c>
      <c r="Y9" s="47"/>
      <c r="Z9" s="47"/>
      <c r="AA9" s="47"/>
      <c r="AB9" s="48"/>
      <c r="AC9" s="50"/>
      <c r="AD9" s="47"/>
      <c r="AE9" s="47"/>
      <c r="AF9" s="47"/>
      <c r="AG9" s="48"/>
      <c r="AH9" s="51"/>
      <c r="AI9" s="47"/>
      <c r="AJ9" s="47"/>
      <c r="AK9" s="47"/>
      <c r="AL9" s="48"/>
      <c r="AM9" s="50"/>
      <c r="AN9" s="47"/>
      <c r="AO9" s="47"/>
      <c r="AP9" s="47"/>
      <c r="AQ9" s="48"/>
      <c r="AR9" s="52"/>
      <c r="AS9" s="47"/>
      <c r="AT9" s="47"/>
      <c r="AU9" s="47"/>
      <c r="AV9" s="48"/>
      <c r="AW9" s="53"/>
      <c r="AX9" s="47"/>
      <c r="AY9" s="47"/>
      <c r="AZ9" s="47"/>
      <c r="BA9" s="48"/>
      <c r="BB9" s="54">
        <f>SUM(AH7:AL39)</f>
        <v>2638.25</v>
      </c>
      <c r="BC9" s="47"/>
      <c r="BD9" s="47"/>
      <c r="BE9" s="47"/>
      <c r="BF9" s="48"/>
      <c r="BG9" s="55" t="s">
        <v>4</v>
      </c>
      <c r="BH9" s="47"/>
      <c r="BI9" s="47"/>
      <c r="BJ9" s="47"/>
      <c r="BK9" s="56"/>
    </row>
    <row r="10" ht="21.0" customHeight="1">
      <c r="A10" s="43"/>
      <c r="B10" s="44" t="s">
        <v>267</v>
      </c>
      <c r="C10" s="44" t="s">
        <v>227</v>
      </c>
      <c r="D10" s="45">
        <v>44991.0</v>
      </c>
      <c r="E10" s="45">
        <v>44993.0</v>
      </c>
      <c r="F10" s="44" t="s">
        <v>36</v>
      </c>
      <c r="G10" s="44" t="s">
        <v>59</v>
      </c>
      <c r="H10" s="57" t="s">
        <v>27</v>
      </c>
      <c r="I10" s="50"/>
      <c r="J10" s="47"/>
      <c r="K10" s="47"/>
      <c r="L10" s="47"/>
      <c r="M10" s="48"/>
      <c r="N10" s="51"/>
      <c r="O10" s="47"/>
      <c r="P10" s="47"/>
      <c r="Q10" s="47"/>
      <c r="R10" s="48"/>
      <c r="S10" s="46">
        <v>1233.95</v>
      </c>
      <c r="T10" s="47"/>
      <c r="U10" s="47"/>
      <c r="V10" s="47"/>
      <c r="W10" s="48"/>
      <c r="X10" s="105">
        <v>1264.97</v>
      </c>
      <c r="Y10" s="47"/>
      <c r="Z10" s="47"/>
      <c r="AA10" s="47"/>
      <c r="AB10" s="48"/>
      <c r="AC10" s="50"/>
      <c r="AD10" s="47"/>
      <c r="AE10" s="47"/>
      <c r="AF10" s="47"/>
      <c r="AG10" s="48"/>
      <c r="AH10" s="51"/>
      <c r="AI10" s="47"/>
      <c r="AJ10" s="47"/>
      <c r="AK10" s="47"/>
      <c r="AL10" s="48"/>
      <c r="AM10" s="50"/>
      <c r="AN10" s="47"/>
      <c r="AO10" s="47"/>
      <c r="AP10" s="47"/>
      <c r="AQ10" s="48"/>
      <c r="AR10" s="51"/>
      <c r="AS10" s="47"/>
      <c r="AT10" s="47"/>
      <c r="AU10" s="47"/>
      <c r="AV10" s="48"/>
      <c r="AW10" s="53"/>
      <c r="AX10" s="47"/>
      <c r="AY10" s="47"/>
      <c r="AZ10" s="47"/>
      <c r="BA10" s="48"/>
      <c r="BB10" s="54">
        <f>SUM(AR7:AV39)</f>
        <v>16773.34</v>
      </c>
      <c r="BC10" s="47"/>
      <c r="BD10" s="47"/>
      <c r="BE10" s="47"/>
      <c r="BF10" s="48"/>
      <c r="BG10" s="55" t="s">
        <v>5</v>
      </c>
      <c r="BH10" s="47"/>
      <c r="BI10" s="47"/>
      <c r="BJ10" s="47"/>
      <c r="BK10" s="56"/>
    </row>
    <row r="11" ht="21.0" customHeight="1">
      <c r="A11" s="43"/>
      <c r="B11" s="44" t="s">
        <v>232</v>
      </c>
      <c r="C11" s="44" t="s">
        <v>233</v>
      </c>
      <c r="D11" s="45">
        <v>44993.0</v>
      </c>
      <c r="E11" s="45">
        <v>44994.0</v>
      </c>
      <c r="F11" s="44" t="s">
        <v>234</v>
      </c>
      <c r="G11" s="44" t="s">
        <v>59</v>
      </c>
      <c r="H11" s="57" t="s">
        <v>27</v>
      </c>
      <c r="I11" s="50"/>
      <c r="J11" s="47"/>
      <c r="K11" s="47"/>
      <c r="L11" s="47"/>
      <c r="M11" s="48"/>
      <c r="N11" s="51"/>
      <c r="O11" s="47"/>
      <c r="P11" s="47"/>
      <c r="Q11" s="47"/>
      <c r="R11" s="48"/>
      <c r="S11" s="46">
        <v>1204.67</v>
      </c>
      <c r="T11" s="47"/>
      <c r="U11" s="47"/>
      <c r="V11" s="47"/>
      <c r="W11" s="48"/>
      <c r="X11" s="105">
        <v>1132.9</v>
      </c>
      <c r="Y11" s="47"/>
      <c r="Z11" s="47"/>
      <c r="AA11" s="47"/>
      <c r="AB11" s="48"/>
      <c r="AC11" s="50"/>
      <c r="AD11" s="47"/>
      <c r="AE11" s="47"/>
      <c r="AF11" s="47"/>
      <c r="AG11" s="48"/>
      <c r="AH11" s="51"/>
      <c r="AI11" s="47"/>
      <c r="AJ11" s="47"/>
      <c r="AK11" s="47"/>
      <c r="AL11" s="48"/>
      <c r="AM11" s="50"/>
      <c r="AN11" s="47"/>
      <c r="AO11" s="47"/>
      <c r="AP11" s="47"/>
      <c r="AQ11" s="48"/>
      <c r="AR11" s="51"/>
      <c r="AS11" s="47"/>
      <c r="AT11" s="47"/>
      <c r="AU11" s="47"/>
      <c r="AV11" s="48"/>
      <c r="AW11" s="53"/>
      <c r="AX11" s="47"/>
      <c r="AY11" s="47"/>
      <c r="AZ11" s="47"/>
      <c r="BA11" s="48"/>
      <c r="BB11" s="54"/>
      <c r="BC11" s="47"/>
      <c r="BD11" s="47"/>
      <c r="BE11" s="47"/>
      <c r="BF11" s="48"/>
      <c r="BG11" s="55"/>
      <c r="BH11" s="47"/>
      <c r="BI11" s="47"/>
      <c r="BJ11" s="47"/>
      <c r="BK11" s="56"/>
    </row>
    <row r="12" ht="21.0" customHeight="1">
      <c r="A12" s="43"/>
      <c r="B12" s="44" t="s">
        <v>237</v>
      </c>
      <c r="C12" s="44" t="s">
        <v>233</v>
      </c>
      <c r="D12" s="45">
        <v>44993.0</v>
      </c>
      <c r="E12" s="45">
        <v>44994.0</v>
      </c>
      <c r="F12" s="44" t="s">
        <v>234</v>
      </c>
      <c r="G12" s="44" t="s">
        <v>59</v>
      </c>
      <c r="H12" s="57" t="s">
        <v>27</v>
      </c>
      <c r="I12" s="50"/>
      <c r="J12" s="47"/>
      <c r="K12" s="47"/>
      <c r="L12" s="47"/>
      <c r="M12" s="48"/>
      <c r="N12" s="51"/>
      <c r="O12" s="47"/>
      <c r="P12" s="47"/>
      <c r="Q12" s="47"/>
      <c r="R12" s="48"/>
      <c r="S12" s="46">
        <v>1019.75</v>
      </c>
      <c r="T12" s="47"/>
      <c r="U12" s="47"/>
      <c r="V12" s="47"/>
      <c r="W12" s="48"/>
      <c r="X12" s="105">
        <v>931.12</v>
      </c>
      <c r="Y12" s="47"/>
      <c r="Z12" s="47"/>
      <c r="AA12" s="47"/>
      <c r="AB12" s="48"/>
      <c r="AC12" s="50"/>
      <c r="AD12" s="47"/>
      <c r="AE12" s="47"/>
      <c r="AF12" s="47"/>
      <c r="AG12" s="48"/>
      <c r="AH12" s="51"/>
      <c r="AI12" s="47"/>
      <c r="AJ12" s="47"/>
      <c r="AK12" s="47"/>
      <c r="AL12" s="48"/>
      <c r="AM12" s="50"/>
      <c r="AN12" s="47"/>
      <c r="AO12" s="47"/>
      <c r="AP12" s="47"/>
      <c r="AQ12" s="48"/>
      <c r="AR12" s="51"/>
      <c r="AS12" s="47"/>
      <c r="AT12" s="47"/>
      <c r="AU12" s="47"/>
      <c r="AV12" s="48"/>
      <c r="AW12" s="53"/>
      <c r="AX12" s="47"/>
      <c r="AY12" s="47"/>
      <c r="AZ12" s="47"/>
      <c r="BA12" s="48"/>
      <c r="BB12" s="54"/>
      <c r="BC12" s="47"/>
      <c r="BD12" s="47"/>
      <c r="BE12" s="47"/>
      <c r="BF12" s="48"/>
      <c r="BG12" s="55"/>
      <c r="BH12" s="47"/>
      <c r="BI12" s="47"/>
      <c r="BJ12" s="47"/>
      <c r="BK12" s="56"/>
    </row>
    <row r="13" ht="21.0" customHeight="1">
      <c r="A13" s="43"/>
      <c r="B13" s="44" t="s">
        <v>128</v>
      </c>
      <c r="C13" s="44" t="s">
        <v>233</v>
      </c>
      <c r="D13" s="45">
        <v>44993.0</v>
      </c>
      <c r="E13" s="45">
        <v>44994.0</v>
      </c>
      <c r="F13" s="44" t="s">
        <v>234</v>
      </c>
      <c r="G13" s="44" t="s">
        <v>59</v>
      </c>
      <c r="H13" s="57" t="s">
        <v>27</v>
      </c>
      <c r="I13" s="50"/>
      <c r="J13" s="47"/>
      <c r="K13" s="47"/>
      <c r="L13" s="47"/>
      <c r="M13" s="48"/>
      <c r="N13" s="51"/>
      <c r="O13" s="47"/>
      <c r="P13" s="47"/>
      <c r="Q13" s="47"/>
      <c r="R13" s="48"/>
      <c r="S13" s="46">
        <v>802.11</v>
      </c>
      <c r="T13" s="47"/>
      <c r="U13" s="47"/>
      <c r="V13" s="47"/>
      <c r="W13" s="48"/>
      <c r="X13" s="105">
        <v>768.56</v>
      </c>
      <c r="Y13" s="47"/>
      <c r="Z13" s="47"/>
      <c r="AA13" s="47"/>
      <c r="AB13" s="48"/>
      <c r="AC13" s="50"/>
      <c r="AD13" s="47"/>
      <c r="AE13" s="47"/>
      <c r="AF13" s="47"/>
      <c r="AG13" s="48"/>
      <c r="AH13" s="51"/>
      <c r="AI13" s="47"/>
      <c r="AJ13" s="47"/>
      <c r="AK13" s="47"/>
      <c r="AL13" s="48"/>
      <c r="AM13" s="50"/>
      <c r="AN13" s="47"/>
      <c r="AO13" s="47"/>
      <c r="AP13" s="47"/>
      <c r="AQ13" s="48"/>
      <c r="AR13" s="51"/>
      <c r="AS13" s="47"/>
      <c r="AT13" s="47"/>
      <c r="AU13" s="47"/>
      <c r="AV13" s="48"/>
      <c r="AW13" s="53"/>
      <c r="AX13" s="47"/>
      <c r="AY13" s="47"/>
      <c r="AZ13" s="47"/>
      <c r="BA13" s="48"/>
      <c r="BB13" s="54"/>
      <c r="BC13" s="47"/>
      <c r="BD13" s="47"/>
      <c r="BE13" s="47"/>
      <c r="BF13" s="48"/>
      <c r="BG13" s="55"/>
      <c r="BH13" s="47"/>
      <c r="BI13" s="47"/>
      <c r="BJ13" s="47"/>
      <c r="BK13" s="56"/>
    </row>
    <row r="14" ht="21.0" customHeight="1">
      <c r="A14" s="43"/>
      <c r="B14" s="44" t="s">
        <v>267</v>
      </c>
      <c r="C14" s="44" t="s">
        <v>268</v>
      </c>
      <c r="D14" s="45">
        <v>44991.0</v>
      </c>
      <c r="E14" s="45">
        <v>44993.0</v>
      </c>
      <c r="F14" s="44" t="s">
        <v>36</v>
      </c>
      <c r="G14" s="44" t="s">
        <v>59</v>
      </c>
      <c r="H14" s="57" t="s">
        <v>27</v>
      </c>
      <c r="I14" s="50"/>
      <c r="J14" s="47"/>
      <c r="K14" s="47"/>
      <c r="L14" s="47"/>
      <c r="M14" s="48"/>
      <c r="N14" s="51"/>
      <c r="O14" s="47"/>
      <c r="P14" s="47"/>
      <c r="Q14" s="47"/>
      <c r="R14" s="48"/>
      <c r="S14" s="46">
        <v>1233.95</v>
      </c>
      <c r="T14" s="47"/>
      <c r="U14" s="47"/>
      <c r="V14" s="47"/>
      <c r="W14" s="48"/>
      <c r="X14" s="105">
        <v>1264.97</v>
      </c>
      <c r="Y14" s="47"/>
      <c r="Z14" s="47"/>
      <c r="AA14" s="47"/>
      <c r="AB14" s="48"/>
      <c r="AC14" s="50"/>
      <c r="AD14" s="47"/>
      <c r="AE14" s="47"/>
      <c r="AF14" s="47"/>
      <c r="AG14" s="48"/>
      <c r="AH14" s="51"/>
      <c r="AI14" s="47"/>
      <c r="AJ14" s="47"/>
      <c r="AK14" s="47"/>
      <c r="AL14" s="48"/>
      <c r="AM14" s="50"/>
      <c r="AN14" s="47"/>
      <c r="AO14" s="47"/>
      <c r="AP14" s="47"/>
      <c r="AQ14" s="48"/>
      <c r="AR14" s="51"/>
      <c r="AS14" s="47"/>
      <c r="AT14" s="47"/>
      <c r="AU14" s="47"/>
      <c r="AV14" s="48"/>
      <c r="AW14" s="53"/>
      <c r="AX14" s="47"/>
      <c r="AY14" s="47"/>
      <c r="AZ14" s="47"/>
      <c r="BA14" s="48"/>
      <c r="BB14" s="54"/>
      <c r="BC14" s="47"/>
      <c r="BD14" s="47"/>
      <c r="BE14" s="47"/>
      <c r="BF14" s="48"/>
      <c r="BG14" s="55"/>
      <c r="BH14" s="47"/>
      <c r="BI14" s="47"/>
      <c r="BJ14" s="47"/>
      <c r="BK14" s="56"/>
    </row>
    <row r="15" ht="21.0" customHeight="1">
      <c r="A15" s="43"/>
      <c r="B15" s="44" t="s">
        <v>128</v>
      </c>
      <c r="C15" s="44" t="s">
        <v>29</v>
      </c>
      <c r="D15" s="45">
        <v>45047.0</v>
      </c>
      <c r="E15" s="45">
        <v>45050.0</v>
      </c>
      <c r="F15" s="44" t="s">
        <v>50</v>
      </c>
      <c r="G15" s="44" t="s">
        <v>26</v>
      </c>
      <c r="H15" s="57" t="s">
        <v>21</v>
      </c>
      <c r="I15" s="50"/>
      <c r="J15" s="47"/>
      <c r="K15" s="47"/>
      <c r="L15" s="47"/>
      <c r="M15" s="48"/>
      <c r="N15" s="52"/>
      <c r="O15" s="47"/>
      <c r="P15" s="47"/>
      <c r="Q15" s="47"/>
      <c r="R15" s="48"/>
      <c r="S15" s="50"/>
      <c r="T15" s="47"/>
      <c r="U15" s="47"/>
      <c r="V15" s="47"/>
      <c r="W15" s="48"/>
      <c r="X15" s="51"/>
      <c r="Y15" s="47"/>
      <c r="Z15" s="47"/>
      <c r="AA15" s="47"/>
      <c r="AB15" s="48"/>
      <c r="AC15" s="46">
        <v>1060.38</v>
      </c>
      <c r="AD15" s="47"/>
      <c r="AE15" s="47"/>
      <c r="AF15" s="47"/>
      <c r="AG15" s="48"/>
      <c r="AH15" s="105">
        <v>1144.41</v>
      </c>
      <c r="AI15" s="47"/>
      <c r="AJ15" s="47"/>
      <c r="AK15" s="47"/>
      <c r="AL15" s="48"/>
      <c r="AM15" s="50"/>
      <c r="AN15" s="47"/>
      <c r="AO15" s="47"/>
      <c r="AP15" s="47"/>
      <c r="AQ15" s="48"/>
      <c r="AR15" s="51"/>
      <c r="AS15" s="47"/>
      <c r="AT15" s="47"/>
      <c r="AU15" s="47"/>
      <c r="AV15" s="48"/>
      <c r="AW15" s="53"/>
      <c r="AX15" s="47"/>
      <c r="AY15" s="47"/>
      <c r="AZ15" s="47"/>
      <c r="BA15" s="48"/>
      <c r="BB15" s="54"/>
      <c r="BC15" s="47"/>
      <c r="BD15" s="47"/>
      <c r="BE15" s="47"/>
      <c r="BF15" s="48"/>
      <c r="BG15" s="55"/>
      <c r="BH15" s="47"/>
      <c r="BI15" s="47"/>
      <c r="BJ15" s="47"/>
      <c r="BK15" s="56"/>
    </row>
    <row r="16" ht="21.0" customHeight="1">
      <c r="A16" s="43"/>
      <c r="B16" s="44" t="s">
        <v>267</v>
      </c>
      <c r="C16" s="44" t="s">
        <v>346</v>
      </c>
      <c r="D16" s="45">
        <v>45062.0</v>
      </c>
      <c r="E16" s="45">
        <v>45064.0</v>
      </c>
      <c r="F16" s="44" t="s">
        <v>347</v>
      </c>
      <c r="G16" s="44" t="s">
        <v>59</v>
      </c>
      <c r="H16" s="44" t="s">
        <v>27</v>
      </c>
      <c r="I16" s="50"/>
      <c r="J16" s="47"/>
      <c r="K16" s="47"/>
      <c r="L16" s="47"/>
      <c r="M16" s="48"/>
      <c r="N16" s="52"/>
      <c r="O16" s="47"/>
      <c r="P16" s="47"/>
      <c r="Q16" s="47"/>
      <c r="R16" s="48"/>
      <c r="S16" s="50"/>
      <c r="T16" s="47"/>
      <c r="U16" s="47"/>
      <c r="V16" s="47"/>
      <c r="W16" s="48"/>
      <c r="X16" s="51"/>
      <c r="Y16" s="47"/>
      <c r="Z16" s="47"/>
      <c r="AA16" s="47"/>
      <c r="AB16" s="48"/>
      <c r="AC16" s="46">
        <v>1438.38</v>
      </c>
      <c r="AD16" s="47"/>
      <c r="AE16" s="47"/>
      <c r="AF16" s="47"/>
      <c r="AG16" s="48"/>
      <c r="AH16" s="105">
        <v>1493.84</v>
      </c>
      <c r="AI16" s="47"/>
      <c r="AJ16" s="47"/>
      <c r="AK16" s="47"/>
      <c r="AL16" s="48"/>
      <c r="AM16" s="50"/>
      <c r="AN16" s="47"/>
      <c r="AO16" s="47"/>
      <c r="AP16" s="47"/>
      <c r="AQ16" s="48"/>
      <c r="AR16" s="51"/>
      <c r="AS16" s="47"/>
      <c r="AT16" s="47"/>
      <c r="AU16" s="47"/>
      <c r="AV16" s="48"/>
      <c r="AW16" s="53"/>
      <c r="AX16" s="47"/>
      <c r="AY16" s="47"/>
      <c r="AZ16" s="47"/>
      <c r="BA16" s="48"/>
      <c r="BB16" s="54"/>
      <c r="BC16" s="47"/>
      <c r="BD16" s="47"/>
      <c r="BE16" s="47"/>
      <c r="BF16" s="48"/>
      <c r="BG16" s="55"/>
      <c r="BH16" s="47"/>
      <c r="BI16" s="47"/>
      <c r="BJ16" s="47"/>
      <c r="BK16" s="56"/>
    </row>
    <row r="17" ht="21.0" customHeight="1">
      <c r="A17" s="43"/>
      <c r="B17" s="44" t="s">
        <v>358</v>
      </c>
      <c r="C17" s="44" t="s">
        <v>359</v>
      </c>
      <c r="D17" s="45">
        <v>45152.0</v>
      </c>
      <c r="E17" s="45">
        <v>45156.0</v>
      </c>
      <c r="F17" s="44" t="s">
        <v>69</v>
      </c>
      <c r="G17" s="44" t="s">
        <v>64</v>
      </c>
      <c r="H17" s="44" t="s">
        <v>21</v>
      </c>
      <c r="I17" s="50"/>
      <c r="J17" s="47"/>
      <c r="K17" s="47"/>
      <c r="L17" s="47"/>
      <c r="M17" s="48"/>
      <c r="N17" s="52"/>
      <c r="O17" s="47"/>
      <c r="P17" s="47"/>
      <c r="Q17" s="47"/>
      <c r="R17" s="48"/>
      <c r="S17" s="50"/>
      <c r="T17" s="47"/>
      <c r="U17" s="47"/>
      <c r="V17" s="47"/>
      <c r="W17" s="48"/>
      <c r="X17" s="51"/>
      <c r="Y17" s="47"/>
      <c r="Z17" s="47"/>
      <c r="AA17" s="47"/>
      <c r="AB17" s="48"/>
      <c r="AC17" s="50"/>
      <c r="AD17" s="47"/>
      <c r="AE17" s="47"/>
      <c r="AF17" s="47"/>
      <c r="AG17" s="48"/>
      <c r="AH17" s="51"/>
      <c r="AI17" s="47"/>
      <c r="AJ17" s="47"/>
      <c r="AK17" s="47"/>
      <c r="AL17" s="48"/>
      <c r="AM17" s="46">
        <v>1767.67</v>
      </c>
      <c r="AN17" s="47"/>
      <c r="AO17" s="47"/>
      <c r="AP17" s="47"/>
      <c r="AQ17" s="48"/>
      <c r="AR17" s="105">
        <v>1599.97</v>
      </c>
      <c r="AS17" s="47"/>
      <c r="AT17" s="47"/>
      <c r="AU17" s="47"/>
      <c r="AV17" s="48"/>
      <c r="AW17" s="53"/>
      <c r="AX17" s="47"/>
      <c r="AY17" s="47"/>
      <c r="AZ17" s="47"/>
      <c r="BA17" s="48"/>
      <c r="BB17" s="54"/>
      <c r="BC17" s="47"/>
      <c r="BD17" s="47"/>
      <c r="BE17" s="47"/>
      <c r="BF17" s="48"/>
      <c r="BG17" s="55"/>
      <c r="BH17" s="47"/>
      <c r="BI17" s="47"/>
      <c r="BJ17" s="47"/>
      <c r="BK17" s="56"/>
    </row>
    <row r="18" ht="21.0" customHeight="1">
      <c r="A18" s="43"/>
      <c r="B18" s="44" t="s">
        <v>360</v>
      </c>
      <c r="C18" s="44" t="s">
        <v>359</v>
      </c>
      <c r="D18" s="45">
        <v>45152.0</v>
      </c>
      <c r="E18" s="45">
        <v>45156.0</v>
      </c>
      <c r="F18" s="44" t="s">
        <v>69</v>
      </c>
      <c r="G18" s="44" t="s">
        <v>64</v>
      </c>
      <c r="H18" s="44" t="s">
        <v>21</v>
      </c>
      <c r="I18" s="50"/>
      <c r="J18" s="47"/>
      <c r="K18" s="47"/>
      <c r="L18" s="47"/>
      <c r="M18" s="48"/>
      <c r="N18" s="52"/>
      <c r="O18" s="47"/>
      <c r="P18" s="47"/>
      <c r="Q18" s="47"/>
      <c r="R18" s="48"/>
      <c r="S18" s="50"/>
      <c r="T18" s="47"/>
      <c r="U18" s="47"/>
      <c r="V18" s="47"/>
      <c r="W18" s="48"/>
      <c r="X18" s="51"/>
      <c r="Y18" s="47"/>
      <c r="Z18" s="47"/>
      <c r="AA18" s="47"/>
      <c r="AB18" s="48"/>
      <c r="AC18" s="50"/>
      <c r="AD18" s="47"/>
      <c r="AE18" s="47"/>
      <c r="AF18" s="47"/>
      <c r="AG18" s="48"/>
      <c r="AH18" s="51"/>
      <c r="AI18" s="47"/>
      <c r="AJ18" s="47"/>
      <c r="AK18" s="47"/>
      <c r="AL18" s="48"/>
      <c r="AM18" s="46">
        <v>1543.78</v>
      </c>
      <c r="AN18" s="47"/>
      <c r="AO18" s="47"/>
      <c r="AP18" s="47"/>
      <c r="AQ18" s="48"/>
      <c r="AR18" s="105">
        <v>1515.43</v>
      </c>
      <c r="AS18" s="47"/>
      <c r="AT18" s="47"/>
      <c r="AU18" s="47"/>
      <c r="AV18" s="48"/>
      <c r="AW18" s="53"/>
      <c r="AX18" s="47"/>
      <c r="AY18" s="47"/>
      <c r="AZ18" s="47"/>
      <c r="BA18" s="48"/>
      <c r="BB18" s="54"/>
      <c r="BC18" s="47"/>
      <c r="BD18" s="47"/>
      <c r="BE18" s="47"/>
      <c r="BF18" s="48"/>
      <c r="BG18" s="55"/>
      <c r="BH18" s="47"/>
      <c r="BI18" s="47"/>
      <c r="BJ18" s="47"/>
      <c r="BK18" s="56"/>
    </row>
    <row r="19" ht="21.0" customHeight="1">
      <c r="A19" s="43"/>
      <c r="B19" s="44" t="s">
        <v>361</v>
      </c>
      <c r="C19" s="44" t="s">
        <v>362</v>
      </c>
      <c r="D19" s="45">
        <v>45152.0</v>
      </c>
      <c r="E19" s="45">
        <v>45156.0</v>
      </c>
      <c r="F19" s="44" t="s">
        <v>69</v>
      </c>
      <c r="G19" s="44" t="s">
        <v>64</v>
      </c>
      <c r="H19" s="44" t="s">
        <v>21</v>
      </c>
      <c r="I19" s="50"/>
      <c r="J19" s="47"/>
      <c r="K19" s="47"/>
      <c r="L19" s="47"/>
      <c r="M19" s="48"/>
      <c r="N19" s="52"/>
      <c r="O19" s="47"/>
      <c r="P19" s="47"/>
      <c r="Q19" s="47"/>
      <c r="R19" s="48"/>
      <c r="S19" s="50"/>
      <c r="T19" s="47"/>
      <c r="U19" s="47"/>
      <c r="V19" s="47"/>
      <c r="W19" s="48"/>
      <c r="X19" s="51"/>
      <c r="Y19" s="47"/>
      <c r="Z19" s="47"/>
      <c r="AA19" s="47"/>
      <c r="AB19" s="48"/>
      <c r="AC19" s="50"/>
      <c r="AD19" s="47"/>
      <c r="AE19" s="47"/>
      <c r="AF19" s="47"/>
      <c r="AG19" s="48"/>
      <c r="AH19" s="51"/>
      <c r="AI19" s="47"/>
      <c r="AJ19" s="47"/>
      <c r="AK19" s="47"/>
      <c r="AL19" s="48"/>
      <c r="AM19" s="46">
        <v>1405.78</v>
      </c>
      <c r="AN19" s="47"/>
      <c r="AO19" s="47"/>
      <c r="AP19" s="47"/>
      <c r="AQ19" s="48"/>
      <c r="AR19" s="105" t="s">
        <v>56</v>
      </c>
      <c r="AS19" s="47"/>
      <c r="AT19" s="47"/>
      <c r="AU19" s="47"/>
      <c r="AV19" s="48"/>
      <c r="AW19" s="53"/>
      <c r="AX19" s="47"/>
      <c r="AY19" s="47"/>
      <c r="AZ19" s="47"/>
      <c r="BA19" s="48"/>
      <c r="BB19" s="54"/>
      <c r="BC19" s="47"/>
      <c r="BD19" s="47"/>
      <c r="BE19" s="47"/>
      <c r="BF19" s="48"/>
      <c r="BG19" s="55"/>
      <c r="BH19" s="47"/>
      <c r="BI19" s="47"/>
      <c r="BJ19" s="47"/>
      <c r="BK19" s="56"/>
    </row>
    <row r="20" ht="21.0" customHeight="1">
      <c r="A20" s="43"/>
      <c r="B20" s="44" t="s">
        <v>363</v>
      </c>
      <c r="C20" s="44" t="s">
        <v>359</v>
      </c>
      <c r="D20" s="45">
        <v>45152.0</v>
      </c>
      <c r="E20" s="45">
        <v>45156.0</v>
      </c>
      <c r="F20" s="44" t="s">
        <v>69</v>
      </c>
      <c r="G20" s="44" t="s">
        <v>64</v>
      </c>
      <c r="H20" s="44" t="s">
        <v>21</v>
      </c>
      <c r="I20" s="50"/>
      <c r="J20" s="47"/>
      <c r="K20" s="47"/>
      <c r="L20" s="47"/>
      <c r="M20" s="48"/>
      <c r="N20" s="52"/>
      <c r="O20" s="47"/>
      <c r="P20" s="47"/>
      <c r="Q20" s="47"/>
      <c r="R20" s="48"/>
      <c r="S20" s="50"/>
      <c r="T20" s="47"/>
      <c r="U20" s="47"/>
      <c r="V20" s="47"/>
      <c r="W20" s="48"/>
      <c r="X20" s="51"/>
      <c r="Y20" s="47"/>
      <c r="Z20" s="47"/>
      <c r="AA20" s="47"/>
      <c r="AB20" s="48"/>
      <c r="AC20" s="50"/>
      <c r="AD20" s="47"/>
      <c r="AE20" s="47"/>
      <c r="AF20" s="47"/>
      <c r="AG20" s="48"/>
      <c r="AH20" s="51"/>
      <c r="AI20" s="47"/>
      <c r="AJ20" s="47"/>
      <c r="AK20" s="47"/>
      <c r="AL20" s="48"/>
      <c r="AM20" s="46">
        <v>1505.78</v>
      </c>
      <c r="AN20" s="47"/>
      <c r="AO20" s="47"/>
      <c r="AP20" s="47"/>
      <c r="AQ20" s="48"/>
      <c r="AR20" s="105">
        <v>1488.55</v>
      </c>
      <c r="AS20" s="47"/>
      <c r="AT20" s="47"/>
      <c r="AU20" s="47"/>
      <c r="AV20" s="48"/>
      <c r="AW20" s="53"/>
      <c r="AX20" s="47"/>
      <c r="AY20" s="47"/>
      <c r="AZ20" s="47"/>
      <c r="BA20" s="48"/>
      <c r="BB20" s="54"/>
      <c r="BC20" s="47"/>
      <c r="BD20" s="47"/>
      <c r="BE20" s="47"/>
      <c r="BF20" s="48"/>
      <c r="BG20" s="55"/>
      <c r="BH20" s="47"/>
      <c r="BI20" s="47"/>
      <c r="BJ20" s="47"/>
      <c r="BK20" s="56"/>
    </row>
    <row r="21" ht="21.0" customHeight="1">
      <c r="A21" s="43"/>
      <c r="B21" s="44" t="s">
        <v>237</v>
      </c>
      <c r="C21" s="44" t="s">
        <v>359</v>
      </c>
      <c r="D21" s="45">
        <v>45152.0</v>
      </c>
      <c r="E21" s="45">
        <v>45156.0</v>
      </c>
      <c r="F21" s="44" t="s">
        <v>69</v>
      </c>
      <c r="G21" s="44" t="s">
        <v>64</v>
      </c>
      <c r="H21" s="44" t="s">
        <v>21</v>
      </c>
      <c r="I21" s="50"/>
      <c r="J21" s="47"/>
      <c r="K21" s="47"/>
      <c r="L21" s="47"/>
      <c r="M21" s="48"/>
      <c r="N21" s="52"/>
      <c r="O21" s="47"/>
      <c r="P21" s="47"/>
      <c r="Q21" s="47"/>
      <c r="R21" s="48"/>
      <c r="S21" s="50"/>
      <c r="T21" s="47"/>
      <c r="U21" s="47"/>
      <c r="V21" s="47"/>
      <c r="W21" s="48"/>
      <c r="X21" s="51"/>
      <c r="Y21" s="47"/>
      <c r="Z21" s="47"/>
      <c r="AA21" s="47"/>
      <c r="AB21" s="48"/>
      <c r="AC21" s="50"/>
      <c r="AD21" s="47"/>
      <c r="AE21" s="47"/>
      <c r="AF21" s="47"/>
      <c r="AG21" s="48"/>
      <c r="AH21" s="51"/>
      <c r="AI21" s="47"/>
      <c r="AJ21" s="47"/>
      <c r="AK21" s="47"/>
      <c r="AL21" s="48"/>
      <c r="AM21" s="46">
        <v>1445.0</v>
      </c>
      <c r="AN21" s="47"/>
      <c r="AO21" s="47"/>
      <c r="AP21" s="47"/>
      <c r="AQ21" s="48"/>
      <c r="AR21" s="105">
        <v>1345.0</v>
      </c>
      <c r="AS21" s="47"/>
      <c r="AT21" s="47"/>
      <c r="AU21" s="47"/>
      <c r="AV21" s="48"/>
      <c r="AW21" s="53"/>
      <c r="AX21" s="47"/>
      <c r="AY21" s="47"/>
      <c r="AZ21" s="47"/>
      <c r="BA21" s="48"/>
      <c r="BB21" s="54"/>
      <c r="BC21" s="47"/>
      <c r="BD21" s="47"/>
      <c r="BE21" s="47"/>
      <c r="BF21" s="48"/>
      <c r="BG21" s="55"/>
      <c r="BH21" s="47"/>
      <c r="BI21" s="47"/>
      <c r="BJ21" s="47"/>
      <c r="BK21" s="56"/>
    </row>
    <row r="22" ht="21.0" customHeight="1">
      <c r="A22" s="43"/>
      <c r="B22" s="44" t="s">
        <v>364</v>
      </c>
      <c r="C22" s="44" t="s">
        <v>359</v>
      </c>
      <c r="D22" s="45">
        <v>45152.0</v>
      </c>
      <c r="E22" s="45">
        <v>45156.0</v>
      </c>
      <c r="F22" s="44" t="s">
        <v>69</v>
      </c>
      <c r="G22" s="44" t="s">
        <v>64</v>
      </c>
      <c r="H22" s="44" t="s">
        <v>21</v>
      </c>
      <c r="I22" s="50"/>
      <c r="J22" s="47"/>
      <c r="K22" s="47"/>
      <c r="L22" s="47"/>
      <c r="M22" s="48"/>
      <c r="N22" s="52"/>
      <c r="O22" s="47"/>
      <c r="P22" s="47"/>
      <c r="Q22" s="47"/>
      <c r="R22" s="48"/>
      <c r="S22" s="50"/>
      <c r="T22" s="47"/>
      <c r="U22" s="47"/>
      <c r="V22" s="47"/>
      <c r="W22" s="48"/>
      <c r="X22" s="51"/>
      <c r="Y22" s="47"/>
      <c r="Z22" s="47"/>
      <c r="AA22" s="47"/>
      <c r="AB22" s="48"/>
      <c r="AC22" s="50"/>
      <c r="AD22" s="47"/>
      <c r="AE22" s="47"/>
      <c r="AF22" s="47"/>
      <c r="AG22" s="48"/>
      <c r="AH22" s="51"/>
      <c r="AI22" s="47"/>
      <c r="AJ22" s="47"/>
      <c r="AK22" s="47"/>
      <c r="AL22" s="48"/>
      <c r="AM22" s="46">
        <v>1487.53</v>
      </c>
      <c r="AN22" s="47"/>
      <c r="AO22" s="47"/>
      <c r="AP22" s="47"/>
      <c r="AQ22" s="48"/>
      <c r="AR22" s="105">
        <v>1318.78</v>
      </c>
      <c r="AS22" s="47"/>
      <c r="AT22" s="47"/>
      <c r="AU22" s="47"/>
      <c r="AV22" s="48"/>
      <c r="AW22" s="53"/>
      <c r="AX22" s="47"/>
      <c r="AY22" s="47"/>
      <c r="AZ22" s="47"/>
      <c r="BA22" s="48"/>
      <c r="BB22" s="54"/>
      <c r="BC22" s="47"/>
      <c r="BD22" s="47"/>
      <c r="BE22" s="47"/>
      <c r="BF22" s="48"/>
      <c r="BG22" s="55"/>
      <c r="BH22" s="47"/>
      <c r="BI22" s="47"/>
      <c r="BJ22" s="47"/>
      <c r="BK22" s="56"/>
    </row>
    <row r="23" ht="21.0" customHeight="1">
      <c r="A23" s="43"/>
      <c r="B23" s="44" t="s">
        <v>226</v>
      </c>
      <c r="C23" s="44" t="s">
        <v>359</v>
      </c>
      <c r="D23" s="45">
        <v>45152.0</v>
      </c>
      <c r="E23" s="45">
        <v>45156.0</v>
      </c>
      <c r="F23" s="44" t="s">
        <v>69</v>
      </c>
      <c r="G23" s="44" t="s">
        <v>64</v>
      </c>
      <c r="H23" s="44" t="s">
        <v>21</v>
      </c>
      <c r="I23" s="50"/>
      <c r="J23" s="47"/>
      <c r="K23" s="47"/>
      <c r="L23" s="47"/>
      <c r="M23" s="48"/>
      <c r="N23" s="52"/>
      <c r="O23" s="47"/>
      <c r="P23" s="47"/>
      <c r="Q23" s="47"/>
      <c r="R23" s="48"/>
      <c r="S23" s="50"/>
      <c r="T23" s="47"/>
      <c r="U23" s="47"/>
      <c r="V23" s="47"/>
      <c r="W23" s="48"/>
      <c r="X23" s="51"/>
      <c r="Y23" s="47"/>
      <c r="Z23" s="47"/>
      <c r="AA23" s="47"/>
      <c r="AB23" s="48"/>
      <c r="AC23" s="50"/>
      <c r="AD23" s="47"/>
      <c r="AE23" s="47"/>
      <c r="AF23" s="47"/>
      <c r="AG23" s="48"/>
      <c r="AH23" s="51"/>
      <c r="AI23" s="47"/>
      <c r="AJ23" s="47"/>
      <c r="AK23" s="47"/>
      <c r="AL23" s="48"/>
      <c r="AM23" s="46">
        <v>1453.08</v>
      </c>
      <c r="AN23" s="47"/>
      <c r="AO23" s="47"/>
      <c r="AP23" s="47"/>
      <c r="AQ23" s="48"/>
      <c r="AR23" s="105">
        <v>1338.08</v>
      </c>
      <c r="AS23" s="47"/>
      <c r="AT23" s="47"/>
      <c r="AU23" s="47"/>
      <c r="AV23" s="48"/>
      <c r="AW23" s="53"/>
      <c r="AX23" s="47"/>
      <c r="AY23" s="47"/>
      <c r="AZ23" s="47"/>
      <c r="BA23" s="48"/>
      <c r="BB23" s="54"/>
      <c r="BC23" s="47"/>
      <c r="BD23" s="47"/>
      <c r="BE23" s="47"/>
      <c r="BF23" s="48"/>
      <c r="BG23" s="55"/>
      <c r="BH23" s="47"/>
      <c r="BI23" s="47"/>
      <c r="BJ23" s="47"/>
      <c r="BK23" s="56"/>
    </row>
    <row r="24" ht="21.0" customHeight="1">
      <c r="A24" s="43"/>
      <c r="B24" s="44" t="s">
        <v>232</v>
      </c>
      <c r="C24" s="44" t="s">
        <v>359</v>
      </c>
      <c r="D24" s="45">
        <v>45152.0</v>
      </c>
      <c r="E24" s="45">
        <v>45156.0</v>
      </c>
      <c r="F24" s="44" t="s">
        <v>69</v>
      </c>
      <c r="G24" s="44" t="s">
        <v>64</v>
      </c>
      <c r="H24" s="44" t="s">
        <v>21</v>
      </c>
      <c r="I24" s="50"/>
      <c r="J24" s="47"/>
      <c r="K24" s="47"/>
      <c r="L24" s="47"/>
      <c r="M24" s="48"/>
      <c r="N24" s="52"/>
      <c r="O24" s="47"/>
      <c r="P24" s="47"/>
      <c r="Q24" s="47"/>
      <c r="R24" s="48"/>
      <c r="S24" s="50"/>
      <c r="T24" s="47"/>
      <c r="U24" s="47"/>
      <c r="V24" s="47"/>
      <c r="W24" s="48"/>
      <c r="X24" s="51"/>
      <c r="Y24" s="47"/>
      <c r="Z24" s="47"/>
      <c r="AA24" s="47"/>
      <c r="AB24" s="48"/>
      <c r="AC24" s="50"/>
      <c r="AD24" s="47"/>
      <c r="AE24" s="47"/>
      <c r="AF24" s="47"/>
      <c r="AG24" s="48"/>
      <c r="AH24" s="51"/>
      <c r="AI24" s="47"/>
      <c r="AJ24" s="47"/>
      <c r="AK24" s="47"/>
      <c r="AL24" s="48"/>
      <c r="AM24" s="46">
        <v>1533.78</v>
      </c>
      <c r="AN24" s="47"/>
      <c r="AO24" s="47"/>
      <c r="AP24" s="47"/>
      <c r="AQ24" s="48"/>
      <c r="AR24" s="105">
        <v>1460.78</v>
      </c>
      <c r="AS24" s="47"/>
      <c r="AT24" s="47"/>
      <c r="AU24" s="47"/>
      <c r="AV24" s="48"/>
      <c r="AW24" s="53"/>
      <c r="AX24" s="47"/>
      <c r="AY24" s="47"/>
      <c r="AZ24" s="47"/>
      <c r="BA24" s="48"/>
      <c r="BB24" s="54"/>
      <c r="BC24" s="47"/>
      <c r="BD24" s="47"/>
      <c r="BE24" s="47"/>
      <c r="BF24" s="48"/>
      <c r="BG24" s="55"/>
      <c r="BH24" s="47"/>
      <c r="BI24" s="47"/>
      <c r="BJ24" s="47"/>
      <c r="BK24" s="56"/>
    </row>
    <row r="25" ht="21.0" customHeight="1">
      <c r="A25" s="43"/>
      <c r="B25" s="44" t="s">
        <v>352</v>
      </c>
      <c r="C25" s="44" t="s">
        <v>359</v>
      </c>
      <c r="D25" s="45">
        <v>45152.0</v>
      </c>
      <c r="E25" s="45">
        <v>45156.0</v>
      </c>
      <c r="F25" s="44" t="s">
        <v>69</v>
      </c>
      <c r="G25" s="44" t="s">
        <v>64</v>
      </c>
      <c r="H25" s="44" t="s">
        <v>21</v>
      </c>
      <c r="I25" s="50"/>
      <c r="J25" s="47"/>
      <c r="K25" s="47"/>
      <c r="L25" s="47"/>
      <c r="M25" s="48"/>
      <c r="N25" s="52"/>
      <c r="O25" s="47"/>
      <c r="P25" s="47"/>
      <c r="Q25" s="47"/>
      <c r="R25" s="48"/>
      <c r="S25" s="50"/>
      <c r="T25" s="47"/>
      <c r="U25" s="47"/>
      <c r="V25" s="47"/>
      <c r="W25" s="48"/>
      <c r="X25" s="51"/>
      <c r="Y25" s="47"/>
      <c r="Z25" s="47"/>
      <c r="AA25" s="47"/>
      <c r="AB25" s="48"/>
      <c r="AC25" s="50"/>
      <c r="AD25" s="47"/>
      <c r="AE25" s="47"/>
      <c r="AF25" s="47"/>
      <c r="AG25" s="48"/>
      <c r="AH25" s="51"/>
      <c r="AI25" s="47"/>
      <c r="AJ25" s="47"/>
      <c r="AK25" s="47"/>
      <c r="AL25" s="48"/>
      <c r="AM25" s="46">
        <v>1443.21</v>
      </c>
      <c r="AN25" s="47"/>
      <c r="AO25" s="47"/>
      <c r="AP25" s="47"/>
      <c r="AQ25" s="48"/>
      <c r="AR25" s="105">
        <v>1487.52</v>
      </c>
      <c r="AS25" s="47"/>
      <c r="AT25" s="47"/>
      <c r="AU25" s="47"/>
      <c r="AV25" s="48"/>
      <c r="AW25" s="53"/>
      <c r="AX25" s="47"/>
      <c r="AY25" s="47"/>
      <c r="AZ25" s="47"/>
      <c r="BA25" s="48"/>
      <c r="BB25" s="54"/>
      <c r="BC25" s="47"/>
      <c r="BD25" s="47"/>
      <c r="BE25" s="47"/>
      <c r="BF25" s="48"/>
      <c r="BG25" s="55"/>
      <c r="BH25" s="47"/>
      <c r="BI25" s="47"/>
      <c r="BJ25" s="47"/>
      <c r="BK25" s="56"/>
    </row>
    <row r="26" ht="21.0" customHeight="1">
      <c r="A26" s="43"/>
      <c r="B26" s="44" t="s">
        <v>128</v>
      </c>
      <c r="C26" s="44" t="s">
        <v>359</v>
      </c>
      <c r="D26" s="45">
        <v>45152.0</v>
      </c>
      <c r="E26" s="45">
        <v>45156.0</v>
      </c>
      <c r="F26" s="44" t="s">
        <v>69</v>
      </c>
      <c r="G26" s="44" t="s">
        <v>64</v>
      </c>
      <c r="H26" s="44" t="s">
        <v>21</v>
      </c>
      <c r="I26" s="50"/>
      <c r="J26" s="47"/>
      <c r="K26" s="47"/>
      <c r="L26" s="47"/>
      <c r="M26" s="48"/>
      <c r="N26" s="52"/>
      <c r="O26" s="47"/>
      <c r="P26" s="47"/>
      <c r="Q26" s="47"/>
      <c r="R26" s="48"/>
      <c r="S26" s="50"/>
      <c r="T26" s="47"/>
      <c r="U26" s="47"/>
      <c r="V26" s="47"/>
      <c r="W26" s="48"/>
      <c r="X26" s="51"/>
      <c r="Y26" s="47"/>
      <c r="Z26" s="47"/>
      <c r="AA26" s="47"/>
      <c r="AB26" s="48"/>
      <c r="AC26" s="50"/>
      <c r="AD26" s="47"/>
      <c r="AE26" s="47"/>
      <c r="AF26" s="47"/>
      <c r="AG26" s="48"/>
      <c r="AH26" s="51"/>
      <c r="AI26" s="47"/>
      <c r="AJ26" s="47"/>
      <c r="AK26" s="47"/>
      <c r="AL26" s="48"/>
      <c r="AM26" s="46">
        <v>1502.48</v>
      </c>
      <c r="AN26" s="47"/>
      <c r="AO26" s="47"/>
      <c r="AP26" s="47"/>
      <c r="AQ26" s="48"/>
      <c r="AR26" s="105">
        <v>1518.22</v>
      </c>
      <c r="AS26" s="47"/>
      <c r="AT26" s="47"/>
      <c r="AU26" s="47"/>
      <c r="AV26" s="48"/>
      <c r="AW26" s="53"/>
      <c r="AX26" s="47"/>
      <c r="AY26" s="47"/>
      <c r="AZ26" s="47"/>
      <c r="BA26" s="48"/>
      <c r="BB26" s="54"/>
      <c r="BC26" s="47"/>
      <c r="BD26" s="47"/>
      <c r="BE26" s="47"/>
      <c r="BF26" s="48"/>
      <c r="BG26" s="55"/>
      <c r="BH26" s="47"/>
      <c r="BI26" s="47"/>
      <c r="BJ26" s="47"/>
      <c r="BK26" s="56"/>
    </row>
    <row r="27" ht="21.0" customHeight="1">
      <c r="A27" s="43"/>
      <c r="B27" s="44" t="s">
        <v>370</v>
      </c>
      <c r="C27" s="44" t="s">
        <v>359</v>
      </c>
      <c r="D27" s="45">
        <v>45152.0</v>
      </c>
      <c r="E27" s="45">
        <v>45156.0</v>
      </c>
      <c r="F27" s="44" t="s">
        <v>69</v>
      </c>
      <c r="G27" s="44" t="s">
        <v>64</v>
      </c>
      <c r="H27" s="44" t="s">
        <v>21</v>
      </c>
      <c r="I27" s="50"/>
      <c r="J27" s="47"/>
      <c r="K27" s="47"/>
      <c r="L27" s="47"/>
      <c r="M27" s="48"/>
      <c r="N27" s="52"/>
      <c r="O27" s="47"/>
      <c r="P27" s="47"/>
      <c r="Q27" s="47"/>
      <c r="R27" s="48"/>
      <c r="S27" s="50"/>
      <c r="T27" s="47"/>
      <c r="U27" s="47"/>
      <c r="V27" s="47"/>
      <c r="W27" s="48"/>
      <c r="X27" s="51"/>
      <c r="Y27" s="47"/>
      <c r="Z27" s="47"/>
      <c r="AA27" s="47"/>
      <c r="AB27" s="48"/>
      <c r="AC27" s="50"/>
      <c r="AD27" s="47"/>
      <c r="AE27" s="47"/>
      <c r="AF27" s="47"/>
      <c r="AG27" s="48"/>
      <c r="AH27" s="51"/>
      <c r="AI27" s="47"/>
      <c r="AJ27" s="47"/>
      <c r="AK27" s="47"/>
      <c r="AL27" s="48"/>
      <c r="AM27" s="46">
        <v>1435.77</v>
      </c>
      <c r="AN27" s="47"/>
      <c r="AO27" s="47"/>
      <c r="AP27" s="47"/>
      <c r="AQ27" s="48"/>
      <c r="AR27" s="105">
        <v>1494.98</v>
      </c>
      <c r="AS27" s="47"/>
      <c r="AT27" s="47"/>
      <c r="AU27" s="47"/>
      <c r="AV27" s="48"/>
      <c r="AW27" s="53"/>
      <c r="AX27" s="47"/>
      <c r="AY27" s="47"/>
      <c r="AZ27" s="47"/>
      <c r="BA27" s="48"/>
      <c r="BB27" s="54"/>
      <c r="BC27" s="47"/>
      <c r="BD27" s="47"/>
      <c r="BE27" s="47"/>
      <c r="BF27" s="48"/>
      <c r="BG27" s="55"/>
      <c r="BH27" s="47"/>
      <c r="BI27" s="47"/>
      <c r="BJ27" s="47"/>
      <c r="BK27" s="56"/>
    </row>
    <row r="28" ht="21.0" customHeight="1">
      <c r="A28" s="43"/>
      <c r="B28" s="44" t="s">
        <v>267</v>
      </c>
      <c r="C28" s="44" t="s">
        <v>359</v>
      </c>
      <c r="D28" s="45">
        <v>45152.0</v>
      </c>
      <c r="E28" s="45">
        <v>45156.0</v>
      </c>
      <c r="F28" s="44" t="s">
        <v>69</v>
      </c>
      <c r="G28" s="44" t="s">
        <v>64</v>
      </c>
      <c r="H28" s="44" t="s">
        <v>21</v>
      </c>
      <c r="I28" s="50"/>
      <c r="J28" s="47"/>
      <c r="K28" s="47"/>
      <c r="L28" s="47"/>
      <c r="M28" s="48"/>
      <c r="N28" s="52"/>
      <c r="O28" s="47"/>
      <c r="P28" s="47"/>
      <c r="Q28" s="47"/>
      <c r="R28" s="48"/>
      <c r="S28" s="50"/>
      <c r="T28" s="47"/>
      <c r="U28" s="47"/>
      <c r="V28" s="47"/>
      <c r="W28" s="48"/>
      <c r="X28" s="51"/>
      <c r="Y28" s="47"/>
      <c r="Z28" s="47"/>
      <c r="AA28" s="47"/>
      <c r="AB28" s="48"/>
      <c r="AC28" s="50"/>
      <c r="AD28" s="47"/>
      <c r="AE28" s="47"/>
      <c r="AF28" s="47"/>
      <c r="AG28" s="48"/>
      <c r="AH28" s="51"/>
      <c r="AI28" s="47"/>
      <c r="AJ28" s="47"/>
      <c r="AK28" s="47"/>
      <c r="AL28" s="48"/>
      <c r="AM28" s="46">
        <v>1480.77</v>
      </c>
      <c r="AN28" s="47"/>
      <c r="AO28" s="47"/>
      <c r="AP28" s="47"/>
      <c r="AQ28" s="48"/>
      <c r="AR28" s="105">
        <v>1493.33</v>
      </c>
      <c r="AS28" s="47"/>
      <c r="AT28" s="47"/>
      <c r="AU28" s="47"/>
      <c r="AV28" s="48"/>
      <c r="AW28" s="53"/>
      <c r="AX28" s="47"/>
      <c r="AY28" s="47"/>
      <c r="AZ28" s="47"/>
      <c r="BA28" s="48"/>
      <c r="BB28" s="54"/>
      <c r="BC28" s="47"/>
      <c r="BD28" s="47"/>
      <c r="BE28" s="47"/>
      <c r="BF28" s="48"/>
      <c r="BG28" s="55"/>
      <c r="BH28" s="47"/>
      <c r="BI28" s="47"/>
      <c r="BJ28" s="47"/>
      <c r="BK28" s="56"/>
    </row>
    <row r="29" ht="21.0" customHeight="1">
      <c r="A29" s="43"/>
      <c r="B29" s="44" t="s">
        <v>128</v>
      </c>
      <c r="C29" s="44" t="s">
        <v>372</v>
      </c>
      <c r="D29" s="45">
        <v>45165.0</v>
      </c>
      <c r="E29" s="45">
        <v>45170.0</v>
      </c>
      <c r="F29" s="44" t="s">
        <v>373</v>
      </c>
      <c r="G29" s="44" t="s">
        <v>195</v>
      </c>
      <c r="H29" s="44" t="s">
        <v>287</v>
      </c>
      <c r="I29" s="50"/>
      <c r="J29" s="47"/>
      <c r="K29" s="47"/>
      <c r="L29" s="47"/>
      <c r="M29" s="48"/>
      <c r="N29" s="52"/>
      <c r="O29" s="47"/>
      <c r="P29" s="47"/>
      <c r="Q29" s="47"/>
      <c r="R29" s="48"/>
      <c r="S29" s="50"/>
      <c r="T29" s="47"/>
      <c r="U29" s="47"/>
      <c r="V29" s="47"/>
      <c r="W29" s="48"/>
      <c r="X29" s="51"/>
      <c r="Y29" s="47"/>
      <c r="Z29" s="47"/>
      <c r="AA29" s="47"/>
      <c r="AB29" s="48"/>
      <c r="AC29" s="50"/>
      <c r="AD29" s="47"/>
      <c r="AE29" s="47"/>
      <c r="AF29" s="47"/>
      <c r="AG29" s="48"/>
      <c r="AH29" s="51"/>
      <c r="AI29" s="47"/>
      <c r="AJ29" s="47"/>
      <c r="AK29" s="47"/>
      <c r="AL29" s="48"/>
      <c r="AM29" s="46">
        <v>1785.77</v>
      </c>
      <c r="AN29" s="47"/>
      <c r="AO29" s="47"/>
      <c r="AP29" s="47"/>
      <c r="AQ29" s="48"/>
      <c r="AR29" s="105" t="s">
        <v>56</v>
      </c>
      <c r="AS29" s="47"/>
      <c r="AT29" s="47"/>
      <c r="AU29" s="47"/>
      <c r="AV29" s="48"/>
      <c r="AW29" s="53"/>
      <c r="AX29" s="47"/>
      <c r="AY29" s="47"/>
      <c r="AZ29" s="47"/>
      <c r="BA29" s="48"/>
      <c r="BB29" s="54"/>
      <c r="BC29" s="47"/>
      <c r="BD29" s="47"/>
      <c r="BE29" s="47"/>
      <c r="BF29" s="48"/>
      <c r="BG29" s="55"/>
      <c r="BH29" s="47"/>
      <c r="BI29" s="47"/>
      <c r="BJ29" s="47"/>
      <c r="BK29" s="56"/>
    </row>
    <row r="30" ht="21.0" customHeight="1">
      <c r="A30" s="43"/>
      <c r="B30" s="44" t="s">
        <v>376</v>
      </c>
      <c r="C30" s="44" t="s">
        <v>362</v>
      </c>
      <c r="D30" s="45">
        <v>45152.0</v>
      </c>
      <c r="E30" s="45">
        <v>45156.0</v>
      </c>
      <c r="F30" s="44" t="s">
        <v>69</v>
      </c>
      <c r="G30" s="44" t="s">
        <v>64</v>
      </c>
      <c r="H30" s="57" t="s">
        <v>21</v>
      </c>
      <c r="I30" s="50"/>
      <c r="J30" s="47"/>
      <c r="K30" s="47"/>
      <c r="L30" s="47"/>
      <c r="M30" s="48"/>
      <c r="N30" s="52"/>
      <c r="O30" s="47"/>
      <c r="P30" s="47"/>
      <c r="Q30" s="47"/>
      <c r="R30" s="48"/>
      <c r="S30" s="91"/>
      <c r="T30" s="47"/>
      <c r="U30" s="47"/>
      <c r="V30" s="47"/>
      <c r="W30" s="48"/>
      <c r="X30" s="51"/>
      <c r="Y30" s="47"/>
      <c r="Z30" s="47"/>
      <c r="AA30" s="47"/>
      <c r="AB30" s="48"/>
      <c r="AC30" s="91"/>
      <c r="AD30" s="47"/>
      <c r="AE30" s="47"/>
      <c r="AF30" s="47"/>
      <c r="AG30" s="48"/>
      <c r="AH30" s="51"/>
      <c r="AI30" s="47"/>
      <c r="AJ30" s="47"/>
      <c r="AK30" s="47"/>
      <c r="AL30" s="48"/>
      <c r="AM30" s="106">
        <v>1278.56</v>
      </c>
      <c r="AN30" s="47"/>
      <c r="AO30" s="47"/>
      <c r="AP30" s="47"/>
      <c r="AQ30" s="48"/>
      <c r="AR30" s="105" t="s">
        <v>56</v>
      </c>
      <c r="AS30" s="47"/>
      <c r="AT30" s="47"/>
      <c r="AU30" s="47"/>
      <c r="AV30" s="48"/>
      <c r="AW30" s="53"/>
      <c r="AX30" s="47"/>
      <c r="AY30" s="47"/>
      <c r="AZ30" s="47"/>
      <c r="BA30" s="48"/>
      <c r="BB30" s="54"/>
      <c r="BC30" s="47"/>
      <c r="BD30" s="47"/>
      <c r="BE30" s="47"/>
      <c r="BF30" s="48"/>
      <c r="BG30" s="55"/>
      <c r="BH30" s="47"/>
      <c r="BI30" s="47"/>
      <c r="BJ30" s="47"/>
      <c r="BK30" s="56"/>
    </row>
    <row r="31" ht="21.0" customHeight="1">
      <c r="A31" s="43"/>
      <c r="B31" s="44" t="s">
        <v>237</v>
      </c>
      <c r="C31" s="44" t="s">
        <v>372</v>
      </c>
      <c r="D31" s="45">
        <v>45165.0</v>
      </c>
      <c r="E31" s="45">
        <v>45170.0</v>
      </c>
      <c r="F31" s="44" t="s">
        <v>69</v>
      </c>
      <c r="G31" s="44" t="s">
        <v>64</v>
      </c>
      <c r="H31" s="44" t="s">
        <v>21</v>
      </c>
      <c r="I31" s="50"/>
      <c r="J31" s="47"/>
      <c r="K31" s="47"/>
      <c r="L31" s="47"/>
      <c r="M31" s="48"/>
      <c r="N31" s="52"/>
      <c r="O31" s="47"/>
      <c r="P31" s="47"/>
      <c r="Q31" s="47"/>
      <c r="R31" s="48"/>
      <c r="S31" s="50"/>
      <c r="T31" s="47"/>
      <c r="U31" s="47"/>
      <c r="V31" s="47"/>
      <c r="W31" s="48"/>
      <c r="X31" s="51"/>
      <c r="Y31" s="47"/>
      <c r="Z31" s="47"/>
      <c r="AA31" s="47"/>
      <c r="AB31" s="48"/>
      <c r="AC31" s="50"/>
      <c r="AD31" s="47"/>
      <c r="AE31" s="47"/>
      <c r="AF31" s="47"/>
      <c r="AG31" s="48"/>
      <c r="AH31" s="51"/>
      <c r="AI31" s="47"/>
      <c r="AJ31" s="47"/>
      <c r="AK31" s="47"/>
      <c r="AL31" s="48"/>
      <c r="AM31" s="46">
        <v>1730.99</v>
      </c>
      <c r="AN31" s="47"/>
      <c r="AO31" s="47"/>
      <c r="AP31" s="47"/>
      <c r="AQ31" s="48"/>
      <c r="AR31" s="105" t="s">
        <v>56</v>
      </c>
      <c r="AS31" s="47"/>
      <c r="AT31" s="47"/>
      <c r="AU31" s="47"/>
      <c r="AV31" s="48"/>
      <c r="AW31" s="53"/>
      <c r="AX31" s="47"/>
      <c r="AY31" s="47"/>
      <c r="AZ31" s="47"/>
      <c r="BA31" s="48"/>
      <c r="BB31" s="54"/>
      <c r="BC31" s="47"/>
      <c r="BD31" s="47"/>
      <c r="BE31" s="47"/>
      <c r="BF31" s="48"/>
      <c r="BG31" s="55"/>
      <c r="BH31" s="47"/>
      <c r="BI31" s="47"/>
      <c r="BJ31" s="47"/>
      <c r="BK31" s="56"/>
    </row>
    <row r="32" ht="21.0" customHeight="1">
      <c r="A32" s="43"/>
      <c r="B32" s="44" t="s">
        <v>232</v>
      </c>
      <c r="C32" s="44" t="s">
        <v>372</v>
      </c>
      <c r="D32" s="45">
        <v>45165.0</v>
      </c>
      <c r="E32" s="45">
        <v>45170.0</v>
      </c>
      <c r="F32" s="44" t="s">
        <v>373</v>
      </c>
      <c r="G32" s="44" t="s">
        <v>195</v>
      </c>
      <c r="H32" s="44" t="s">
        <v>287</v>
      </c>
      <c r="I32" s="50"/>
      <c r="J32" s="47"/>
      <c r="K32" s="47"/>
      <c r="L32" s="47"/>
      <c r="M32" s="48"/>
      <c r="N32" s="52"/>
      <c r="O32" s="47"/>
      <c r="P32" s="47"/>
      <c r="Q32" s="47"/>
      <c r="R32" s="48"/>
      <c r="S32" s="50"/>
      <c r="T32" s="47"/>
      <c r="U32" s="47"/>
      <c r="V32" s="47"/>
      <c r="W32" s="48"/>
      <c r="X32" s="51"/>
      <c r="Y32" s="47"/>
      <c r="Z32" s="47"/>
      <c r="AA32" s="47"/>
      <c r="AB32" s="48"/>
      <c r="AC32" s="50"/>
      <c r="AD32" s="47"/>
      <c r="AE32" s="47"/>
      <c r="AF32" s="47"/>
      <c r="AG32" s="48"/>
      <c r="AH32" s="51"/>
      <c r="AI32" s="47"/>
      <c r="AJ32" s="47"/>
      <c r="AK32" s="47"/>
      <c r="AL32" s="48"/>
      <c r="AM32" s="46">
        <v>1855.77</v>
      </c>
      <c r="AN32" s="47"/>
      <c r="AO32" s="47"/>
      <c r="AP32" s="47"/>
      <c r="AQ32" s="48"/>
      <c r="AR32" s="105" t="s">
        <v>56</v>
      </c>
      <c r="AS32" s="47"/>
      <c r="AT32" s="47"/>
      <c r="AU32" s="47"/>
      <c r="AV32" s="48"/>
      <c r="AW32" s="53"/>
      <c r="AX32" s="47"/>
      <c r="AY32" s="47"/>
      <c r="AZ32" s="47"/>
      <c r="BA32" s="48"/>
      <c r="BB32" s="54"/>
      <c r="BC32" s="47"/>
      <c r="BD32" s="47"/>
      <c r="BE32" s="47"/>
      <c r="BF32" s="48"/>
      <c r="BG32" s="55"/>
      <c r="BH32" s="47"/>
      <c r="BI32" s="47"/>
      <c r="BJ32" s="47"/>
      <c r="BK32" s="56"/>
    </row>
    <row r="33" ht="21.0" customHeight="1">
      <c r="A33" s="43"/>
      <c r="B33" s="44" t="s">
        <v>226</v>
      </c>
      <c r="C33" s="44" t="s">
        <v>372</v>
      </c>
      <c r="D33" s="45">
        <v>45165.0</v>
      </c>
      <c r="E33" s="45">
        <v>45170.0</v>
      </c>
      <c r="F33" s="44" t="s">
        <v>373</v>
      </c>
      <c r="G33" s="44" t="s">
        <v>195</v>
      </c>
      <c r="H33" s="44" t="s">
        <v>287</v>
      </c>
      <c r="I33" s="50"/>
      <c r="J33" s="47"/>
      <c r="K33" s="47"/>
      <c r="L33" s="47"/>
      <c r="M33" s="48"/>
      <c r="N33" s="52"/>
      <c r="O33" s="47"/>
      <c r="P33" s="47"/>
      <c r="Q33" s="47"/>
      <c r="R33" s="48"/>
      <c r="S33" s="50"/>
      <c r="T33" s="47"/>
      <c r="U33" s="47"/>
      <c r="V33" s="47"/>
      <c r="W33" s="48"/>
      <c r="X33" s="51"/>
      <c r="Y33" s="47"/>
      <c r="Z33" s="47"/>
      <c r="AA33" s="47"/>
      <c r="AB33" s="48"/>
      <c r="AC33" s="50"/>
      <c r="AD33" s="47"/>
      <c r="AE33" s="47"/>
      <c r="AF33" s="47"/>
      <c r="AG33" s="48"/>
      <c r="AH33" s="51"/>
      <c r="AI33" s="47"/>
      <c r="AJ33" s="47"/>
      <c r="AK33" s="47"/>
      <c r="AL33" s="48"/>
      <c r="AM33" s="46">
        <v>2289.22</v>
      </c>
      <c r="AN33" s="47"/>
      <c r="AO33" s="47"/>
      <c r="AP33" s="47"/>
      <c r="AQ33" s="48"/>
      <c r="AR33" s="105" t="s">
        <v>56</v>
      </c>
      <c r="AS33" s="47"/>
      <c r="AT33" s="47"/>
      <c r="AU33" s="47"/>
      <c r="AV33" s="48"/>
      <c r="AW33" s="53"/>
      <c r="AX33" s="47"/>
      <c r="AY33" s="47"/>
      <c r="AZ33" s="47"/>
      <c r="BA33" s="48"/>
      <c r="BB33" s="54"/>
      <c r="BC33" s="47"/>
      <c r="BD33" s="47"/>
      <c r="BE33" s="47"/>
      <c r="BF33" s="48"/>
      <c r="BG33" s="55"/>
      <c r="BH33" s="47"/>
      <c r="BI33" s="47"/>
      <c r="BJ33" s="47"/>
      <c r="BK33" s="56"/>
    </row>
    <row r="34" ht="21.0" customHeight="1">
      <c r="A34" s="43"/>
      <c r="B34" s="44" t="s">
        <v>358</v>
      </c>
      <c r="C34" s="44" t="s">
        <v>372</v>
      </c>
      <c r="D34" s="45">
        <v>45165.0</v>
      </c>
      <c r="E34" s="45">
        <v>45170.0</v>
      </c>
      <c r="F34" s="44" t="s">
        <v>373</v>
      </c>
      <c r="G34" s="44" t="s">
        <v>195</v>
      </c>
      <c r="H34" s="44" t="s">
        <v>287</v>
      </c>
      <c r="I34" s="50"/>
      <c r="J34" s="47"/>
      <c r="K34" s="47"/>
      <c r="L34" s="47"/>
      <c r="M34" s="48"/>
      <c r="N34" s="52"/>
      <c r="O34" s="47"/>
      <c r="P34" s="47"/>
      <c r="Q34" s="47"/>
      <c r="R34" s="48"/>
      <c r="S34" s="50"/>
      <c r="T34" s="47"/>
      <c r="U34" s="47"/>
      <c r="V34" s="47"/>
      <c r="W34" s="48"/>
      <c r="X34" s="51"/>
      <c r="Y34" s="47"/>
      <c r="Z34" s="47"/>
      <c r="AA34" s="47"/>
      <c r="AB34" s="48"/>
      <c r="AC34" s="50"/>
      <c r="AD34" s="47"/>
      <c r="AE34" s="47"/>
      <c r="AF34" s="47"/>
      <c r="AG34" s="48"/>
      <c r="AH34" s="51"/>
      <c r="AI34" s="47"/>
      <c r="AJ34" s="47"/>
      <c r="AK34" s="47"/>
      <c r="AL34" s="48"/>
      <c r="AM34" s="46">
        <v>2390.65</v>
      </c>
      <c r="AN34" s="47"/>
      <c r="AO34" s="47"/>
      <c r="AP34" s="47"/>
      <c r="AQ34" s="48"/>
      <c r="AR34" s="105" t="s">
        <v>56</v>
      </c>
      <c r="AS34" s="47"/>
      <c r="AT34" s="47"/>
      <c r="AU34" s="47"/>
      <c r="AV34" s="48"/>
      <c r="AW34" s="53"/>
      <c r="AX34" s="47"/>
      <c r="AY34" s="47"/>
      <c r="AZ34" s="47"/>
      <c r="BA34" s="48"/>
      <c r="BB34" s="54"/>
      <c r="BC34" s="47"/>
      <c r="BD34" s="47"/>
      <c r="BE34" s="47"/>
      <c r="BF34" s="48"/>
      <c r="BG34" s="55"/>
      <c r="BH34" s="47"/>
      <c r="BI34" s="47"/>
      <c r="BJ34" s="47"/>
      <c r="BK34" s="56"/>
    </row>
    <row r="35" ht="21.0" customHeight="1">
      <c r="A35" s="43"/>
      <c r="B35" s="44" t="s">
        <v>352</v>
      </c>
      <c r="C35" s="44" t="s">
        <v>379</v>
      </c>
      <c r="D35" s="45">
        <v>45187.0</v>
      </c>
      <c r="E35" s="45">
        <v>45188.0</v>
      </c>
      <c r="F35" s="44" t="s">
        <v>380</v>
      </c>
      <c r="G35" s="44" t="s">
        <v>59</v>
      </c>
      <c r="H35" s="44" t="s">
        <v>27</v>
      </c>
      <c r="I35" s="50"/>
      <c r="J35" s="47"/>
      <c r="K35" s="47"/>
      <c r="L35" s="47"/>
      <c r="M35" s="48"/>
      <c r="N35" s="52"/>
      <c r="O35" s="47"/>
      <c r="P35" s="47"/>
      <c r="Q35" s="47"/>
      <c r="R35" s="48"/>
      <c r="S35" s="50"/>
      <c r="T35" s="47"/>
      <c r="U35" s="47"/>
      <c r="V35" s="47"/>
      <c r="W35" s="48"/>
      <c r="X35" s="51"/>
      <c r="Y35" s="47"/>
      <c r="Z35" s="47"/>
      <c r="AA35" s="47"/>
      <c r="AB35" s="48"/>
      <c r="AC35" s="50"/>
      <c r="AD35" s="47"/>
      <c r="AE35" s="47"/>
      <c r="AF35" s="47"/>
      <c r="AG35" s="48"/>
      <c r="AH35" s="51"/>
      <c r="AI35" s="47"/>
      <c r="AJ35" s="47"/>
      <c r="AK35" s="47"/>
      <c r="AL35" s="48"/>
      <c r="AM35" s="46">
        <v>545.37</v>
      </c>
      <c r="AN35" s="47"/>
      <c r="AO35" s="47"/>
      <c r="AP35" s="47"/>
      <c r="AQ35" s="48"/>
      <c r="AR35" s="105">
        <v>577.53</v>
      </c>
      <c r="AS35" s="47"/>
      <c r="AT35" s="47"/>
      <c r="AU35" s="47"/>
      <c r="AV35" s="48"/>
      <c r="AW35" s="53"/>
      <c r="AX35" s="47"/>
      <c r="AY35" s="47"/>
      <c r="AZ35" s="47"/>
      <c r="BA35" s="48"/>
      <c r="BB35" s="54"/>
      <c r="BC35" s="47"/>
      <c r="BD35" s="47"/>
      <c r="BE35" s="47"/>
      <c r="BF35" s="48"/>
      <c r="BG35" s="55"/>
      <c r="BH35" s="47"/>
      <c r="BI35" s="47"/>
      <c r="BJ35" s="47"/>
      <c r="BK35" s="56"/>
    </row>
    <row r="36" ht="21.0" customHeight="1">
      <c r="A36" s="43"/>
      <c r="B36" s="44" t="s">
        <v>237</v>
      </c>
      <c r="C36" s="44" t="s">
        <v>382</v>
      </c>
      <c r="D36" s="45">
        <v>45160.0</v>
      </c>
      <c r="E36" s="45">
        <v>45160.0</v>
      </c>
      <c r="F36" s="44" t="s">
        <v>19</v>
      </c>
      <c r="G36" s="44" t="s">
        <v>59</v>
      </c>
      <c r="H36" s="44" t="s">
        <v>60</v>
      </c>
      <c r="I36" s="50"/>
      <c r="J36" s="47"/>
      <c r="K36" s="47"/>
      <c r="L36" s="47"/>
      <c r="M36" s="48"/>
      <c r="N36" s="52"/>
      <c r="O36" s="47"/>
      <c r="P36" s="47"/>
      <c r="Q36" s="47"/>
      <c r="R36" s="48"/>
      <c r="S36" s="50"/>
      <c r="T36" s="47"/>
      <c r="U36" s="47"/>
      <c r="V36" s="47"/>
      <c r="W36" s="48"/>
      <c r="X36" s="51"/>
      <c r="Y36" s="47"/>
      <c r="Z36" s="47"/>
      <c r="AA36" s="47"/>
      <c r="AB36" s="48"/>
      <c r="AC36" s="50"/>
      <c r="AD36" s="47"/>
      <c r="AE36" s="47"/>
      <c r="AF36" s="47"/>
      <c r="AG36" s="48"/>
      <c r="AH36" s="51"/>
      <c r="AI36" s="47"/>
      <c r="AJ36" s="47"/>
      <c r="AK36" s="47"/>
      <c r="AL36" s="48"/>
      <c r="AM36" s="46" t="s">
        <v>56</v>
      </c>
      <c r="AN36" s="47"/>
      <c r="AO36" s="47"/>
      <c r="AP36" s="47"/>
      <c r="AQ36" s="48"/>
      <c r="AR36" s="105">
        <v>47.86</v>
      </c>
      <c r="AS36" s="47"/>
      <c r="AT36" s="47"/>
      <c r="AU36" s="47"/>
      <c r="AV36" s="48"/>
      <c r="AW36" s="53"/>
      <c r="AX36" s="47"/>
      <c r="AY36" s="47"/>
      <c r="AZ36" s="47"/>
      <c r="BA36" s="48"/>
      <c r="BB36" s="54"/>
      <c r="BC36" s="47"/>
      <c r="BD36" s="47"/>
      <c r="BE36" s="47"/>
      <c r="BF36" s="48"/>
      <c r="BG36" s="55"/>
      <c r="BH36" s="47"/>
      <c r="BI36" s="47"/>
      <c r="BJ36" s="47"/>
      <c r="BK36" s="56"/>
    </row>
    <row r="37" ht="21.0" customHeight="1">
      <c r="A37" s="43"/>
      <c r="B37" s="44" t="s">
        <v>370</v>
      </c>
      <c r="C37" s="44" t="s">
        <v>382</v>
      </c>
      <c r="D37" s="45">
        <v>45160.0</v>
      </c>
      <c r="E37" s="45">
        <v>45160.0</v>
      </c>
      <c r="F37" s="44" t="s">
        <v>19</v>
      </c>
      <c r="G37" s="44" t="s">
        <v>59</v>
      </c>
      <c r="H37" s="44" t="s">
        <v>60</v>
      </c>
      <c r="I37" s="50"/>
      <c r="J37" s="47"/>
      <c r="K37" s="47"/>
      <c r="L37" s="47"/>
      <c r="M37" s="48"/>
      <c r="N37" s="52"/>
      <c r="O37" s="47"/>
      <c r="P37" s="47"/>
      <c r="Q37" s="47"/>
      <c r="R37" s="48"/>
      <c r="S37" s="50"/>
      <c r="T37" s="47"/>
      <c r="U37" s="47"/>
      <c r="V37" s="47"/>
      <c r="W37" s="48"/>
      <c r="X37" s="51"/>
      <c r="Y37" s="47"/>
      <c r="Z37" s="47"/>
      <c r="AA37" s="47"/>
      <c r="AB37" s="48"/>
      <c r="AC37" s="50"/>
      <c r="AD37" s="47"/>
      <c r="AE37" s="47"/>
      <c r="AF37" s="47"/>
      <c r="AG37" s="48"/>
      <c r="AH37" s="51"/>
      <c r="AI37" s="47"/>
      <c r="AJ37" s="47"/>
      <c r="AK37" s="47"/>
      <c r="AL37" s="48"/>
      <c r="AM37" s="46" t="s">
        <v>56</v>
      </c>
      <c r="AN37" s="47"/>
      <c r="AO37" s="47"/>
      <c r="AP37" s="47"/>
      <c r="AQ37" s="48"/>
      <c r="AR37" s="105">
        <v>36.93</v>
      </c>
      <c r="AS37" s="47"/>
      <c r="AT37" s="47"/>
      <c r="AU37" s="47"/>
      <c r="AV37" s="48"/>
      <c r="AW37" s="53"/>
      <c r="AX37" s="47"/>
      <c r="AY37" s="47"/>
      <c r="AZ37" s="47"/>
      <c r="BA37" s="48"/>
      <c r="BB37" s="54"/>
      <c r="BC37" s="47"/>
      <c r="BD37" s="47"/>
      <c r="BE37" s="47"/>
      <c r="BF37" s="48"/>
      <c r="BG37" s="55"/>
      <c r="BH37" s="47"/>
      <c r="BI37" s="47"/>
      <c r="BJ37" s="47"/>
      <c r="BK37" s="56"/>
    </row>
    <row r="38" ht="21.0" customHeight="1">
      <c r="A38" s="43"/>
      <c r="B38" s="44" t="s">
        <v>226</v>
      </c>
      <c r="C38" s="44" t="s">
        <v>382</v>
      </c>
      <c r="D38" s="45">
        <v>45160.0</v>
      </c>
      <c r="E38" s="45">
        <v>45160.0</v>
      </c>
      <c r="F38" s="44" t="s">
        <v>19</v>
      </c>
      <c r="G38" s="44" t="s">
        <v>59</v>
      </c>
      <c r="H38" s="44" t="s">
        <v>60</v>
      </c>
      <c r="I38" s="50"/>
      <c r="J38" s="47"/>
      <c r="K38" s="47"/>
      <c r="L38" s="47"/>
      <c r="M38" s="48"/>
      <c r="N38" s="52"/>
      <c r="O38" s="47"/>
      <c r="P38" s="47"/>
      <c r="Q38" s="47"/>
      <c r="R38" s="48"/>
      <c r="S38" s="50"/>
      <c r="T38" s="47"/>
      <c r="U38" s="47"/>
      <c r="V38" s="47"/>
      <c r="W38" s="48"/>
      <c r="X38" s="51"/>
      <c r="Y38" s="47"/>
      <c r="Z38" s="47"/>
      <c r="AA38" s="47"/>
      <c r="AB38" s="48"/>
      <c r="AC38" s="50"/>
      <c r="AD38" s="47"/>
      <c r="AE38" s="47"/>
      <c r="AF38" s="47"/>
      <c r="AG38" s="48"/>
      <c r="AH38" s="51"/>
      <c r="AI38" s="47"/>
      <c r="AJ38" s="47"/>
      <c r="AK38" s="47"/>
      <c r="AL38" s="48"/>
      <c r="AM38" s="46" t="s">
        <v>56</v>
      </c>
      <c r="AN38" s="47"/>
      <c r="AO38" s="47"/>
      <c r="AP38" s="47"/>
      <c r="AQ38" s="48"/>
      <c r="AR38" s="105">
        <v>50.38</v>
      </c>
      <c r="AS38" s="47"/>
      <c r="AT38" s="47"/>
      <c r="AU38" s="47"/>
      <c r="AV38" s="48"/>
      <c r="AW38" s="53"/>
      <c r="AX38" s="47"/>
      <c r="AY38" s="47"/>
      <c r="AZ38" s="47"/>
      <c r="BA38" s="48"/>
      <c r="BB38" s="54"/>
      <c r="BC38" s="47"/>
      <c r="BD38" s="47"/>
      <c r="BE38" s="47"/>
      <c r="BF38" s="48"/>
      <c r="BG38" s="55"/>
      <c r="BH38" s="47"/>
      <c r="BI38" s="47"/>
      <c r="BJ38" s="47"/>
      <c r="BK38" s="56"/>
    </row>
    <row r="39" ht="21.0" customHeight="1">
      <c r="A39" s="43"/>
      <c r="B39" s="44"/>
      <c r="C39" s="44"/>
      <c r="D39" s="45"/>
      <c r="E39" s="45"/>
      <c r="F39" s="44"/>
      <c r="G39" s="44"/>
      <c r="H39" s="44"/>
      <c r="I39" s="50"/>
      <c r="J39" s="47"/>
      <c r="K39" s="47"/>
      <c r="L39" s="47"/>
      <c r="M39" s="48"/>
      <c r="N39" s="52"/>
      <c r="O39" s="47"/>
      <c r="P39" s="47"/>
      <c r="Q39" s="47"/>
      <c r="R39" s="48"/>
      <c r="S39" s="50"/>
      <c r="T39" s="47"/>
      <c r="U39" s="47"/>
      <c r="V39" s="47"/>
      <c r="W39" s="48"/>
      <c r="X39" s="51"/>
      <c r="Y39" s="47"/>
      <c r="Z39" s="47"/>
      <c r="AA39" s="47"/>
      <c r="AB39" s="48"/>
      <c r="AC39" s="50"/>
      <c r="AD39" s="47"/>
      <c r="AE39" s="47"/>
      <c r="AF39" s="47"/>
      <c r="AG39" s="48"/>
      <c r="AH39" s="51"/>
      <c r="AI39" s="47"/>
      <c r="AJ39" s="47"/>
      <c r="AK39" s="47"/>
      <c r="AL39" s="48"/>
      <c r="AM39" s="46"/>
      <c r="AN39" s="47"/>
      <c r="AO39" s="47"/>
      <c r="AP39" s="47"/>
      <c r="AQ39" s="48"/>
      <c r="AR39" s="212"/>
      <c r="AS39" s="47"/>
      <c r="AT39" s="47"/>
      <c r="AU39" s="47"/>
      <c r="AV39" s="48"/>
      <c r="AW39" s="53"/>
      <c r="AX39" s="47"/>
      <c r="AY39" s="47"/>
      <c r="AZ39" s="47"/>
      <c r="BA39" s="48"/>
      <c r="BB39" s="54"/>
      <c r="BC39" s="47"/>
      <c r="BD39" s="47"/>
      <c r="BE39" s="47"/>
      <c r="BF39" s="48"/>
      <c r="BG39" s="55"/>
      <c r="BH39" s="47"/>
      <c r="BI39" s="47"/>
      <c r="BJ39" s="47"/>
      <c r="BK39" s="56"/>
    </row>
    <row r="40" ht="21.0" customHeight="1">
      <c r="A40" s="33"/>
      <c r="B40" s="169" t="s">
        <v>385</v>
      </c>
      <c r="C40" s="169" t="s">
        <v>12</v>
      </c>
      <c r="D40" s="170" t="s">
        <v>13</v>
      </c>
      <c r="E40" s="36"/>
      <c r="F40" s="169" t="s">
        <v>14</v>
      </c>
      <c r="G40" s="169" t="s">
        <v>15</v>
      </c>
      <c r="H40" s="169" t="s">
        <v>16</v>
      </c>
      <c r="I40" s="171"/>
      <c r="J40" s="36"/>
      <c r="K40" s="36"/>
      <c r="L40" s="36"/>
      <c r="M40" s="36"/>
      <c r="N40" s="172"/>
      <c r="O40" s="36"/>
      <c r="P40" s="36"/>
      <c r="Q40" s="36"/>
      <c r="R40" s="36"/>
      <c r="S40" s="171"/>
      <c r="T40" s="36"/>
      <c r="U40" s="36"/>
      <c r="V40" s="36"/>
      <c r="W40" s="36"/>
      <c r="X40" s="172"/>
      <c r="Y40" s="36"/>
      <c r="Z40" s="36"/>
      <c r="AA40" s="36"/>
      <c r="AB40" s="36"/>
      <c r="AC40" s="172"/>
      <c r="AD40" s="36"/>
      <c r="AE40" s="36"/>
      <c r="AF40" s="36"/>
      <c r="AG40" s="36"/>
      <c r="AH40" s="172"/>
      <c r="AI40" s="36"/>
      <c r="AJ40" s="36"/>
      <c r="AK40" s="36"/>
      <c r="AL40" s="36"/>
      <c r="AM40" s="172"/>
      <c r="AN40" s="36"/>
      <c r="AO40" s="36"/>
      <c r="AP40" s="36"/>
      <c r="AQ40" s="36"/>
      <c r="AR40" s="172"/>
      <c r="AS40" s="36"/>
      <c r="AT40" s="36"/>
      <c r="AU40" s="36"/>
      <c r="AV40" s="36"/>
      <c r="AW40" s="174">
        <v>99700.0</v>
      </c>
      <c r="AX40" s="36"/>
      <c r="AY40" s="36"/>
      <c r="AZ40" s="36"/>
      <c r="BA40" s="36"/>
      <c r="BB40" s="40">
        <f>sum(BB41:BF44)</f>
        <v>55265.33</v>
      </c>
      <c r="BC40" s="36"/>
      <c r="BD40" s="36"/>
      <c r="BE40" s="36"/>
      <c r="BF40" s="36"/>
      <c r="BG40" s="175">
        <f>AW40-BB40</f>
        <v>44434.67</v>
      </c>
      <c r="BH40" s="36"/>
      <c r="BI40" s="36"/>
      <c r="BJ40" s="36"/>
      <c r="BK40" s="42"/>
    </row>
    <row r="41" ht="21.0" customHeight="1">
      <c r="A41" s="43"/>
      <c r="B41" s="44" t="s">
        <v>121</v>
      </c>
      <c r="C41" s="44" t="s">
        <v>29</v>
      </c>
      <c r="D41" s="45">
        <v>44872.0</v>
      </c>
      <c r="E41" s="45">
        <v>44875.0</v>
      </c>
      <c r="F41" s="44" t="s">
        <v>30</v>
      </c>
      <c r="G41" s="44" t="s">
        <v>26</v>
      </c>
      <c r="H41" s="57" t="s">
        <v>21</v>
      </c>
      <c r="I41" s="46">
        <v>1057.65</v>
      </c>
      <c r="J41" s="47"/>
      <c r="K41" s="47"/>
      <c r="L41" s="47"/>
      <c r="M41" s="48"/>
      <c r="N41" s="105">
        <v>1138.4</v>
      </c>
      <c r="O41" s="47"/>
      <c r="P41" s="47"/>
      <c r="Q41" s="47"/>
      <c r="R41" s="48"/>
      <c r="S41" s="50"/>
      <c r="T41" s="47"/>
      <c r="U41" s="47"/>
      <c r="V41" s="47"/>
      <c r="W41" s="48"/>
      <c r="X41" s="52"/>
      <c r="Y41" s="47"/>
      <c r="Z41" s="47"/>
      <c r="AA41" s="47"/>
      <c r="AB41" s="48"/>
      <c r="AC41" s="50"/>
      <c r="AD41" s="47"/>
      <c r="AE41" s="47"/>
      <c r="AF41" s="47"/>
      <c r="AG41" s="48"/>
      <c r="AH41" s="52"/>
      <c r="AI41" s="47"/>
      <c r="AJ41" s="47"/>
      <c r="AK41" s="47"/>
      <c r="AL41" s="48"/>
      <c r="AM41" s="50"/>
      <c r="AN41" s="47"/>
      <c r="AO41" s="47"/>
      <c r="AP41" s="47"/>
      <c r="AQ41" s="48"/>
      <c r="AR41" s="51"/>
      <c r="AS41" s="47"/>
      <c r="AT41" s="47"/>
      <c r="AU41" s="47"/>
      <c r="AV41" s="48"/>
      <c r="AW41" s="53" t="s">
        <v>386</v>
      </c>
      <c r="AX41" s="47"/>
      <c r="AY41" s="47"/>
      <c r="AZ41" s="47"/>
      <c r="BA41" s="48"/>
      <c r="BB41" s="54">
        <f>SUM(N41:R80)</f>
        <v>2224.29</v>
      </c>
      <c r="BC41" s="47"/>
      <c r="BD41" s="47"/>
      <c r="BE41" s="47"/>
      <c r="BF41" s="48"/>
      <c r="BG41" s="55" t="s">
        <v>22</v>
      </c>
      <c r="BH41" s="47"/>
      <c r="BI41" s="47"/>
      <c r="BJ41" s="47"/>
      <c r="BK41" s="56"/>
    </row>
    <row r="42" ht="21.0" customHeight="1">
      <c r="A42" s="43"/>
      <c r="B42" s="44" t="s">
        <v>125</v>
      </c>
      <c r="C42" s="44" t="s">
        <v>29</v>
      </c>
      <c r="D42" s="45">
        <v>44872.0</v>
      </c>
      <c r="E42" s="45">
        <v>44875.0</v>
      </c>
      <c r="F42" s="44" t="s">
        <v>30</v>
      </c>
      <c r="G42" s="44" t="s">
        <v>26</v>
      </c>
      <c r="H42" s="57" t="s">
        <v>21</v>
      </c>
      <c r="I42" s="46">
        <v>1104.87</v>
      </c>
      <c r="J42" s="47"/>
      <c r="K42" s="47"/>
      <c r="L42" s="47"/>
      <c r="M42" s="48"/>
      <c r="N42" s="105">
        <v>1085.89</v>
      </c>
      <c r="O42" s="47"/>
      <c r="P42" s="47"/>
      <c r="Q42" s="47"/>
      <c r="R42" s="48"/>
      <c r="S42" s="50"/>
      <c r="T42" s="47"/>
      <c r="U42" s="47"/>
      <c r="V42" s="47"/>
      <c r="W42" s="48"/>
      <c r="X42" s="52"/>
      <c r="Y42" s="47"/>
      <c r="Z42" s="47"/>
      <c r="AA42" s="47"/>
      <c r="AB42" s="48"/>
      <c r="AC42" s="50"/>
      <c r="AD42" s="47"/>
      <c r="AE42" s="47"/>
      <c r="AF42" s="47"/>
      <c r="AG42" s="48"/>
      <c r="AH42" s="52"/>
      <c r="AI42" s="47"/>
      <c r="AJ42" s="47"/>
      <c r="AK42" s="47"/>
      <c r="AL42" s="48"/>
      <c r="AM42" s="50"/>
      <c r="AN42" s="47"/>
      <c r="AO42" s="47"/>
      <c r="AP42" s="47"/>
      <c r="AQ42" s="48"/>
      <c r="AR42" s="51"/>
      <c r="AS42" s="47"/>
      <c r="AT42" s="47"/>
      <c r="AU42" s="47"/>
      <c r="AV42" s="48"/>
      <c r="AW42" s="53" t="s">
        <v>387</v>
      </c>
      <c r="AX42" s="47"/>
      <c r="AY42" s="47"/>
      <c r="AZ42" s="47"/>
      <c r="BA42" s="48"/>
      <c r="BB42" s="54">
        <f>SUM(X41:AB80)</f>
        <v>15711.36</v>
      </c>
      <c r="BC42" s="47"/>
      <c r="BD42" s="47"/>
      <c r="BE42" s="47"/>
      <c r="BF42" s="48"/>
      <c r="BG42" s="55" t="s">
        <v>3</v>
      </c>
      <c r="BH42" s="47"/>
      <c r="BI42" s="47"/>
      <c r="BJ42" s="47"/>
      <c r="BK42" s="56"/>
    </row>
    <row r="43" ht="21.0" customHeight="1">
      <c r="A43" s="43"/>
      <c r="B43" s="44" t="s">
        <v>185</v>
      </c>
      <c r="C43" s="44" t="s">
        <v>186</v>
      </c>
      <c r="D43" s="45">
        <v>44949.0</v>
      </c>
      <c r="E43" s="45">
        <v>44953.0</v>
      </c>
      <c r="F43" s="44" t="s">
        <v>30</v>
      </c>
      <c r="G43" s="44" t="s">
        <v>187</v>
      </c>
      <c r="H43" s="44" t="s">
        <v>27</v>
      </c>
      <c r="I43" s="130"/>
      <c r="J43" s="47"/>
      <c r="K43" s="47"/>
      <c r="L43" s="47"/>
      <c r="M43" s="48"/>
      <c r="N43" s="61"/>
      <c r="O43" s="47"/>
      <c r="P43" s="47"/>
      <c r="Q43" s="47"/>
      <c r="R43" s="48"/>
      <c r="S43" s="46">
        <v>2018.46</v>
      </c>
      <c r="T43" s="47"/>
      <c r="U43" s="47"/>
      <c r="V43" s="47"/>
      <c r="W43" s="48"/>
      <c r="X43" s="105">
        <v>1885.06</v>
      </c>
      <c r="Y43" s="47"/>
      <c r="Z43" s="47"/>
      <c r="AA43" s="47"/>
      <c r="AB43" s="48"/>
      <c r="AC43" s="50"/>
      <c r="AD43" s="47"/>
      <c r="AE43" s="47"/>
      <c r="AF43" s="47"/>
      <c r="AG43" s="48"/>
      <c r="AH43" s="52"/>
      <c r="AI43" s="47"/>
      <c r="AJ43" s="47"/>
      <c r="AK43" s="47"/>
      <c r="AL43" s="48"/>
      <c r="AM43" s="50"/>
      <c r="AN43" s="47"/>
      <c r="AO43" s="47"/>
      <c r="AP43" s="47"/>
      <c r="AQ43" s="48"/>
      <c r="AR43" s="51"/>
      <c r="AS43" s="47"/>
      <c r="AT43" s="47"/>
      <c r="AU43" s="47"/>
      <c r="AV43" s="48"/>
      <c r="AW43" s="53"/>
      <c r="AX43" s="47"/>
      <c r="AY43" s="47"/>
      <c r="AZ43" s="47"/>
      <c r="BA43" s="48"/>
      <c r="BB43" s="54">
        <f>SUM(AH41:AL80)</f>
        <v>14371.02</v>
      </c>
      <c r="BC43" s="47"/>
      <c r="BD43" s="47"/>
      <c r="BE43" s="47"/>
      <c r="BF43" s="48"/>
      <c r="BG43" s="55" t="s">
        <v>4</v>
      </c>
      <c r="BH43" s="47"/>
      <c r="BI43" s="47"/>
      <c r="BJ43" s="47"/>
      <c r="BK43" s="56"/>
    </row>
    <row r="44" ht="21.0" customHeight="1">
      <c r="A44" s="43"/>
      <c r="B44" s="44" t="s">
        <v>191</v>
      </c>
      <c r="C44" s="44" t="s">
        <v>186</v>
      </c>
      <c r="D44" s="45">
        <v>44948.0</v>
      </c>
      <c r="E44" s="45">
        <v>44953.0</v>
      </c>
      <c r="F44" s="44" t="s">
        <v>30</v>
      </c>
      <c r="G44" s="44" t="s">
        <v>187</v>
      </c>
      <c r="H44" s="57" t="s">
        <v>27</v>
      </c>
      <c r="I44" s="50"/>
      <c r="J44" s="47"/>
      <c r="K44" s="47"/>
      <c r="L44" s="47"/>
      <c r="M44" s="48"/>
      <c r="N44" s="51"/>
      <c r="O44" s="47"/>
      <c r="P44" s="47"/>
      <c r="Q44" s="47"/>
      <c r="R44" s="48"/>
      <c r="S44" s="46">
        <v>2206.76</v>
      </c>
      <c r="T44" s="47"/>
      <c r="U44" s="47"/>
      <c r="V44" s="47"/>
      <c r="W44" s="48"/>
      <c r="X44" s="105">
        <v>1739.47</v>
      </c>
      <c r="Y44" s="47"/>
      <c r="Z44" s="47"/>
      <c r="AA44" s="47"/>
      <c r="AB44" s="48"/>
      <c r="AC44" s="50"/>
      <c r="AD44" s="47"/>
      <c r="AE44" s="47"/>
      <c r="AF44" s="47"/>
      <c r="AG44" s="48"/>
      <c r="AH44" s="52"/>
      <c r="AI44" s="47"/>
      <c r="AJ44" s="47"/>
      <c r="AK44" s="47"/>
      <c r="AL44" s="48"/>
      <c r="AM44" s="50"/>
      <c r="AN44" s="47"/>
      <c r="AO44" s="47"/>
      <c r="AP44" s="47"/>
      <c r="AQ44" s="48"/>
      <c r="AR44" s="51"/>
      <c r="AS44" s="47"/>
      <c r="AT44" s="47"/>
      <c r="AU44" s="47"/>
      <c r="AV44" s="48"/>
      <c r="AW44" s="53"/>
      <c r="AX44" s="47"/>
      <c r="AY44" s="47"/>
      <c r="AZ44" s="47"/>
      <c r="BA44" s="48"/>
      <c r="BB44" s="54">
        <f>SUM(AR41:AV80)</f>
        <v>22958.66</v>
      </c>
      <c r="BC44" s="47"/>
      <c r="BD44" s="47"/>
      <c r="BE44" s="47"/>
      <c r="BF44" s="48"/>
      <c r="BG44" s="55" t="s">
        <v>5</v>
      </c>
      <c r="BH44" s="47"/>
      <c r="BI44" s="47"/>
      <c r="BJ44" s="47"/>
      <c r="BK44" s="56"/>
    </row>
    <row r="45" ht="21.0" customHeight="1">
      <c r="A45" s="43"/>
      <c r="B45" s="44" t="s">
        <v>200</v>
      </c>
      <c r="C45" s="44" t="s">
        <v>201</v>
      </c>
      <c r="D45" s="45">
        <v>44948.0</v>
      </c>
      <c r="E45" s="45">
        <v>44953.0</v>
      </c>
      <c r="F45" s="44" t="s">
        <v>30</v>
      </c>
      <c r="G45" s="44" t="s">
        <v>187</v>
      </c>
      <c r="H45" s="44" t="s">
        <v>27</v>
      </c>
      <c r="I45" s="60"/>
      <c r="J45" s="47"/>
      <c r="K45" s="47"/>
      <c r="L45" s="47"/>
      <c r="M45" s="48"/>
      <c r="N45" s="61"/>
      <c r="O45" s="47"/>
      <c r="P45" s="47"/>
      <c r="Q45" s="47"/>
      <c r="R45" s="48"/>
      <c r="S45" s="46">
        <v>1350.47</v>
      </c>
      <c r="T45" s="47"/>
      <c r="U45" s="47"/>
      <c r="V45" s="47"/>
      <c r="W45" s="48"/>
      <c r="X45" s="105">
        <v>1150.47</v>
      </c>
      <c r="Y45" s="47"/>
      <c r="Z45" s="47"/>
      <c r="AA45" s="47"/>
      <c r="AB45" s="48"/>
      <c r="AC45" s="50"/>
      <c r="AD45" s="47"/>
      <c r="AE45" s="47"/>
      <c r="AF45" s="47"/>
      <c r="AG45" s="48"/>
      <c r="AH45" s="51"/>
      <c r="AI45" s="47"/>
      <c r="AJ45" s="47"/>
      <c r="AK45" s="47"/>
      <c r="AL45" s="48"/>
      <c r="AM45" s="50"/>
      <c r="AN45" s="47"/>
      <c r="AO45" s="47"/>
      <c r="AP45" s="47"/>
      <c r="AQ45" s="48"/>
      <c r="AR45" s="52"/>
      <c r="AS45" s="47"/>
      <c r="AT45" s="47"/>
      <c r="AU45" s="47"/>
      <c r="AV45" s="48"/>
      <c r="AW45" s="53"/>
      <c r="AX45" s="47"/>
      <c r="AY45" s="47"/>
      <c r="AZ45" s="47"/>
      <c r="BA45" s="48"/>
      <c r="BB45" s="59"/>
      <c r="BC45" s="47"/>
      <c r="BD45" s="47"/>
      <c r="BE45" s="47"/>
      <c r="BF45" s="48"/>
      <c r="BG45" s="59"/>
      <c r="BH45" s="47"/>
      <c r="BI45" s="47"/>
      <c r="BJ45" s="47"/>
      <c r="BK45" s="56"/>
    </row>
    <row r="46" ht="21.0" customHeight="1">
      <c r="A46" s="43"/>
      <c r="B46" s="44" t="s">
        <v>200</v>
      </c>
      <c r="C46" s="44" t="s">
        <v>224</v>
      </c>
      <c r="D46" s="45">
        <v>44983.0</v>
      </c>
      <c r="E46" s="45">
        <v>44988.0</v>
      </c>
      <c r="F46" s="44" t="s">
        <v>180</v>
      </c>
      <c r="G46" s="44" t="s">
        <v>187</v>
      </c>
      <c r="H46" s="44" t="s">
        <v>27</v>
      </c>
      <c r="I46" s="60"/>
      <c r="J46" s="47"/>
      <c r="K46" s="47"/>
      <c r="L46" s="47"/>
      <c r="M46" s="48"/>
      <c r="N46" s="61"/>
      <c r="O46" s="47"/>
      <c r="P46" s="47"/>
      <c r="Q46" s="47"/>
      <c r="R46" s="48"/>
      <c r="S46" s="46">
        <v>2136.22</v>
      </c>
      <c r="T46" s="47"/>
      <c r="U46" s="47"/>
      <c r="V46" s="47"/>
      <c r="W46" s="48"/>
      <c r="X46" s="105">
        <v>2397.48</v>
      </c>
      <c r="Y46" s="47"/>
      <c r="Z46" s="47"/>
      <c r="AA46" s="47"/>
      <c r="AB46" s="48"/>
      <c r="AC46" s="50"/>
      <c r="AD46" s="47"/>
      <c r="AE46" s="47"/>
      <c r="AF46" s="47"/>
      <c r="AG46" s="48"/>
      <c r="AH46" s="51"/>
      <c r="AI46" s="47"/>
      <c r="AJ46" s="47"/>
      <c r="AK46" s="47"/>
      <c r="AL46" s="48"/>
      <c r="AM46" s="50"/>
      <c r="AN46" s="47"/>
      <c r="AO46" s="47"/>
      <c r="AP46" s="47"/>
      <c r="AQ46" s="48"/>
      <c r="AR46" s="52"/>
      <c r="AS46" s="47"/>
      <c r="AT46" s="47"/>
      <c r="AU46" s="47"/>
      <c r="AV46" s="48"/>
      <c r="AW46" s="53"/>
      <c r="AX46" s="47"/>
      <c r="AY46" s="47"/>
      <c r="AZ46" s="47"/>
      <c r="BA46" s="48"/>
      <c r="BB46" s="59"/>
      <c r="BC46" s="47"/>
      <c r="BD46" s="47"/>
      <c r="BE46" s="47"/>
      <c r="BF46" s="48"/>
      <c r="BG46" s="59"/>
      <c r="BH46" s="47"/>
      <c r="BI46" s="47"/>
      <c r="BJ46" s="47"/>
      <c r="BK46" s="56"/>
    </row>
    <row r="47" ht="21.0" customHeight="1">
      <c r="A47" s="43"/>
      <c r="B47" s="44" t="s">
        <v>185</v>
      </c>
      <c r="C47" s="44" t="s">
        <v>224</v>
      </c>
      <c r="D47" s="45">
        <v>44983.0</v>
      </c>
      <c r="E47" s="45">
        <v>44988.0</v>
      </c>
      <c r="F47" s="44" t="s">
        <v>180</v>
      </c>
      <c r="G47" s="44" t="s">
        <v>187</v>
      </c>
      <c r="H47" s="44" t="s">
        <v>27</v>
      </c>
      <c r="I47" s="60"/>
      <c r="J47" s="47"/>
      <c r="K47" s="47"/>
      <c r="L47" s="47"/>
      <c r="M47" s="48"/>
      <c r="N47" s="61"/>
      <c r="O47" s="47"/>
      <c r="P47" s="47"/>
      <c r="Q47" s="47"/>
      <c r="R47" s="48"/>
      <c r="S47" s="46">
        <v>1863.97</v>
      </c>
      <c r="T47" s="47"/>
      <c r="U47" s="47"/>
      <c r="V47" s="47"/>
      <c r="W47" s="48"/>
      <c r="X47" s="105">
        <v>2098.87</v>
      </c>
      <c r="Y47" s="47"/>
      <c r="Z47" s="47"/>
      <c r="AA47" s="47"/>
      <c r="AB47" s="48"/>
      <c r="AC47" s="50"/>
      <c r="AD47" s="47"/>
      <c r="AE47" s="47"/>
      <c r="AF47" s="47"/>
      <c r="AG47" s="48"/>
      <c r="AH47" s="51"/>
      <c r="AI47" s="47"/>
      <c r="AJ47" s="47"/>
      <c r="AK47" s="47"/>
      <c r="AL47" s="48"/>
      <c r="AM47" s="50"/>
      <c r="AN47" s="47"/>
      <c r="AO47" s="47"/>
      <c r="AP47" s="47"/>
      <c r="AQ47" s="48"/>
      <c r="AR47" s="52"/>
      <c r="AS47" s="47"/>
      <c r="AT47" s="47"/>
      <c r="AU47" s="47"/>
      <c r="AV47" s="48"/>
      <c r="AW47" s="53"/>
      <c r="AX47" s="47"/>
      <c r="AY47" s="47"/>
      <c r="AZ47" s="47"/>
      <c r="BA47" s="48"/>
      <c r="BB47" s="59"/>
      <c r="BC47" s="47"/>
      <c r="BD47" s="47"/>
      <c r="BE47" s="47"/>
      <c r="BF47" s="48"/>
      <c r="BG47" s="59"/>
      <c r="BH47" s="47"/>
      <c r="BI47" s="47"/>
      <c r="BJ47" s="47"/>
      <c r="BK47" s="56"/>
    </row>
    <row r="48" ht="21.0" customHeight="1">
      <c r="A48" s="43"/>
      <c r="B48" s="44" t="s">
        <v>211</v>
      </c>
      <c r="C48" s="44" t="s">
        <v>224</v>
      </c>
      <c r="D48" s="45">
        <v>44983.0</v>
      </c>
      <c r="E48" s="45">
        <v>44988.0</v>
      </c>
      <c r="F48" s="44" t="s">
        <v>180</v>
      </c>
      <c r="G48" s="44" t="s">
        <v>187</v>
      </c>
      <c r="H48" s="44" t="s">
        <v>27</v>
      </c>
      <c r="I48" s="60"/>
      <c r="J48" s="47"/>
      <c r="K48" s="47"/>
      <c r="L48" s="47"/>
      <c r="M48" s="48"/>
      <c r="N48" s="61"/>
      <c r="O48" s="47"/>
      <c r="P48" s="47"/>
      <c r="Q48" s="47"/>
      <c r="R48" s="48"/>
      <c r="S48" s="46">
        <v>2013.96</v>
      </c>
      <c r="T48" s="47"/>
      <c r="U48" s="47"/>
      <c r="V48" s="47"/>
      <c r="W48" s="48"/>
      <c r="X48" s="105">
        <v>2174.52</v>
      </c>
      <c r="Y48" s="47"/>
      <c r="Z48" s="47"/>
      <c r="AA48" s="47"/>
      <c r="AB48" s="48"/>
      <c r="AC48" s="50"/>
      <c r="AD48" s="47"/>
      <c r="AE48" s="47"/>
      <c r="AF48" s="47"/>
      <c r="AG48" s="48"/>
      <c r="AH48" s="51"/>
      <c r="AI48" s="47"/>
      <c r="AJ48" s="47"/>
      <c r="AK48" s="47"/>
      <c r="AL48" s="48"/>
      <c r="AM48" s="50"/>
      <c r="AN48" s="47"/>
      <c r="AO48" s="47"/>
      <c r="AP48" s="47"/>
      <c r="AQ48" s="48"/>
      <c r="AR48" s="52"/>
      <c r="AS48" s="47"/>
      <c r="AT48" s="47"/>
      <c r="AU48" s="47"/>
      <c r="AV48" s="48"/>
      <c r="AW48" s="53"/>
      <c r="AX48" s="47"/>
      <c r="AY48" s="47"/>
      <c r="AZ48" s="47"/>
      <c r="BA48" s="48"/>
      <c r="BB48" s="59"/>
      <c r="BC48" s="47"/>
      <c r="BD48" s="47"/>
      <c r="BE48" s="47"/>
      <c r="BF48" s="48"/>
      <c r="BG48" s="59"/>
      <c r="BH48" s="47"/>
      <c r="BI48" s="47"/>
      <c r="BJ48" s="47"/>
      <c r="BK48" s="56"/>
    </row>
    <row r="49" ht="21.0" customHeight="1">
      <c r="A49" s="43"/>
      <c r="B49" s="44" t="s">
        <v>185</v>
      </c>
      <c r="C49" s="44" t="s">
        <v>228</v>
      </c>
      <c r="D49" s="45">
        <v>44993.0</v>
      </c>
      <c r="E49" s="45">
        <v>44994.0</v>
      </c>
      <c r="F49" s="44" t="s">
        <v>229</v>
      </c>
      <c r="G49" s="44" t="s">
        <v>187</v>
      </c>
      <c r="H49" s="44" t="s">
        <v>27</v>
      </c>
      <c r="I49" s="60"/>
      <c r="J49" s="47"/>
      <c r="K49" s="47"/>
      <c r="L49" s="47"/>
      <c r="M49" s="48"/>
      <c r="N49" s="61"/>
      <c r="O49" s="47"/>
      <c r="P49" s="47"/>
      <c r="Q49" s="47"/>
      <c r="R49" s="48"/>
      <c r="S49" s="46">
        <v>625.57</v>
      </c>
      <c r="T49" s="47"/>
      <c r="U49" s="47"/>
      <c r="V49" s="47"/>
      <c r="W49" s="48"/>
      <c r="X49" s="105">
        <v>645.24</v>
      </c>
      <c r="Y49" s="47"/>
      <c r="Z49" s="47"/>
      <c r="AA49" s="47"/>
      <c r="AB49" s="48"/>
      <c r="AC49" s="50"/>
      <c r="AD49" s="47"/>
      <c r="AE49" s="47"/>
      <c r="AF49" s="47"/>
      <c r="AG49" s="48"/>
      <c r="AH49" s="51"/>
      <c r="AI49" s="47"/>
      <c r="AJ49" s="47"/>
      <c r="AK49" s="47"/>
      <c r="AL49" s="48"/>
      <c r="AM49" s="50"/>
      <c r="AN49" s="47"/>
      <c r="AO49" s="47"/>
      <c r="AP49" s="47"/>
      <c r="AQ49" s="48"/>
      <c r="AR49" s="52"/>
      <c r="AS49" s="47"/>
      <c r="AT49" s="47"/>
      <c r="AU49" s="47"/>
      <c r="AV49" s="48"/>
      <c r="AW49" s="53"/>
      <c r="AX49" s="47"/>
      <c r="AY49" s="47"/>
      <c r="AZ49" s="47"/>
      <c r="BA49" s="48"/>
      <c r="BB49" s="59"/>
      <c r="BC49" s="47"/>
      <c r="BD49" s="47"/>
      <c r="BE49" s="47"/>
      <c r="BF49" s="48"/>
      <c r="BG49" s="59"/>
      <c r="BH49" s="47"/>
      <c r="BI49" s="47"/>
      <c r="BJ49" s="47"/>
      <c r="BK49" s="56"/>
    </row>
    <row r="50" ht="21.0" customHeight="1">
      <c r="A50" s="43"/>
      <c r="B50" s="44" t="s">
        <v>200</v>
      </c>
      <c r="C50" s="44" t="s">
        <v>228</v>
      </c>
      <c r="D50" s="45">
        <v>44993.0</v>
      </c>
      <c r="E50" s="45">
        <v>44994.0</v>
      </c>
      <c r="F50" s="44" t="s">
        <v>229</v>
      </c>
      <c r="G50" s="44" t="s">
        <v>187</v>
      </c>
      <c r="H50" s="44" t="s">
        <v>27</v>
      </c>
      <c r="I50" s="60"/>
      <c r="J50" s="47"/>
      <c r="K50" s="47"/>
      <c r="L50" s="47"/>
      <c r="M50" s="48"/>
      <c r="N50" s="61"/>
      <c r="O50" s="47"/>
      <c r="P50" s="47"/>
      <c r="Q50" s="47"/>
      <c r="R50" s="48"/>
      <c r="S50" s="46">
        <v>783.83</v>
      </c>
      <c r="T50" s="47"/>
      <c r="U50" s="47"/>
      <c r="V50" s="47"/>
      <c r="W50" s="48"/>
      <c r="X50" s="105">
        <v>786.8</v>
      </c>
      <c r="Y50" s="47"/>
      <c r="Z50" s="47"/>
      <c r="AA50" s="47"/>
      <c r="AB50" s="48"/>
      <c r="AC50" s="50"/>
      <c r="AD50" s="47"/>
      <c r="AE50" s="47"/>
      <c r="AF50" s="47"/>
      <c r="AG50" s="48"/>
      <c r="AH50" s="51"/>
      <c r="AI50" s="47"/>
      <c r="AJ50" s="47"/>
      <c r="AK50" s="47"/>
      <c r="AL50" s="48"/>
      <c r="AM50" s="50"/>
      <c r="AN50" s="47"/>
      <c r="AO50" s="47"/>
      <c r="AP50" s="47"/>
      <c r="AQ50" s="48"/>
      <c r="AR50" s="52"/>
      <c r="AS50" s="47"/>
      <c r="AT50" s="47"/>
      <c r="AU50" s="47"/>
      <c r="AV50" s="48"/>
      <c r="AW50" s="53"/>
      <c r="AX50" s="47"/>
      <c r="AY50" s="47"/>
      <c r="AZ50" s="47"/>
      <c r="BA50" s="48"/>
      <c r="BB50" s="59"/>
      <c r="BC50" s="47"/>
      <c r="BD50" s="47"/>
      <c r="BE50" s="47"/>
      <c r="BF50" s="48"/>
      <c r="BG50" s="59"/>
      <c r="BH50" s="47"/>
      <c r="BI50" s="47"/>
      <c r="BJ50" s="47"/>
      <c r="BK50" s="56"/>
    </row>
    <row r="51" ht="21.0" customHeight="1">
      <c r="A51" s="43"/>
      <c r="B51" s="44" t="s">
        <v>211</v>
      </c>
      <c r="C51" s="44" t="s">
        <v>201</v>
      </c>
      <c r="D51" s="45">
        <v>44949.0</v>
      </c>
      <c r="E51" s="45">
        <v>44953.0</v>
      </c>
      <c r="F51" s="44" t="s">
        <v>30</v>
      </c>
      <c r="G51" s="44" t="s">
        <v>187</v>
      </c>
      <c r="H51" s="44" t="s">
        <v>60</v>
      </c>
      <c r="I51" s="60"/>
      <c r="J51" s="47"/>
      <c r="K51" s="47"/>
      <c r="L51" s="47"/>
      <c r="M51" s="48"/>
      <c r="N51" s="61"/>
      <c r="O51" s="47"/>
      <c r="P51" s="47"/>
      <c r="Q51" s="47"/>
      <c r="R51" s="48"/>
      <c r="S51" s="46" t="s">
        <v>56</v>
      </c>
      <c r="T51" s="47"/>
      <c r="U51" s="47"/>
      <c r="V51" s="47"/>
      <c r="W51" s="48"/>
      <c r="X51" s="105">
        <v>42.0</v>
      </c>
      <c r="Y51" s="47"/>
      <c r="Z51" s="47"/>
      <c r="AA51" s="47"/>
      <c r="AB51" s="48"/>
      <c r="AC51" s="50"/>
      <c r="AD51" s="47"/>
      <c r="AE51" s="47"/>
      <c r="AF51" s="47"/>
      <c r="AG51" s="48"/>
      <c r="AH51" s="51"/>
      <c r="AI51" s="47"/>
      <c r="AJ51" s="47"/>
      <c r="AK51" s="47"/>
      <c r="AL51" s="48"/>
      <c r="AM51" s="50"/>
      <c r="AN51" s="47"/>
      <c r="AO51" s="47"/>
      <c r="AP51" s="47"/>
      <c r="AQ51" s="48"/>
      <c r="AR51" s="51"/>
      <c r="AS51" s="47"/>
      <c r="AT51" s="47"/>
      <c r="AU51" s="47"/>
      <c r="AV51" s="48"/>
      <c r="AW51" s="53"/>
      <c r="AX51" s="47"/>
      <c r="AY51" s="47"/>
      <c r="AZ51" s="47"/>
      <c r="BA51" s="48"/>
      <c r="BB51" s="59"/>
      <c r="BC51" s="47"/>
      <c r="BD51" s="47"/>
      <c r="BE51" s="47"/>
      <c r="BF51" s="48"/>
      <c r="BG51" s="59"/>
      <c r="BH51" s="47"/>
      <c r="BI51" s="47"/>
      <c r="BJ51" s="47"/>
      <c r="BK51" s="56"/>
    </row>
    <row r="52" ht="21.0" customHeight="1">
      <c r="A52" s="43"/>
      <c r="B52" s="44" t="s">
        <v>200</v>
      </c>
      <c r="C52" s="44" t="s">
        <v>250</v>
      </c>
      <c r="D52" s="45">
        <v>45005.0</v>
      </c>
      <c r="E52" s="45">
        <v>45009.0</v>
      </c>
      <c r="F52" s="44" t="s">
        <v>158</v>
      </c>
      <c r="G52" s="44" t="s">
        <v>251</v>
      </c>
      <c r="H52" s="44" t="s">
        <v>27</v>
      </c>
      <c r="I52" s="60"/>
      <c r="J52" s="47"/>
      <c r="K52" s="47"/>
      <c r="L52" s="47"/>
      <c r="M52" s="48"/>
      <c r="N52" s="61"/>
      <c r="O52" s="47"/>
      <c r="P52" s="47"/>
      <c r="Q52" s="47"/>
      <c r="R52" s="48"/>
      <c r="S52" s="46">
        <v>1128.1</v>
      </c>
      <c r="T52" s="47"/>
      <c r="U52" s="47"/>
      <c r="V52" s="47"/>
      <c r="W52" s="48"/>
      <c r="X52" s="105" t="s">
        <v>56</v>
      </c>
      <c r="Y52" s="47"/>
      <c r="Z52" s="47"/>
      <c r="AA52" s="47"/>
      <c r="AB52" s="48"/>
      <c r="AC52" s="50"/>
      <c r="AD52" s="47"/>
      <c r="AE52" s="47"/>
      <c r="AF52" s="47"/>
      <c r="AG52" s="48"/>
      <c r="AH52" s="51"/>
      <c r="AI52" s="47"/>
      <c r="AJ52" s="47"/>
      <c r="AK52" s="47"/>
      <c r="AL52" s="48"/>
      <c r="AM52" s="50"/>
      <c r="AN52" s="47"/>
      <c r="AO52" s="47"/>
      <c r="AP52" s="47"/>
      <c r="AQ52" s="48"/>
      <c r="AR52" s="51"/>
      <c r="AS52" s="47"/>
      <c r="AT52" s="47"/>
      <c r="AU52" s="47"/>
      <c r="AV52" s="48"/>
      <c r="AW52" s="53"/>
      <c r="AX52" s="47"/>
      <c r="AY52" s="47"/>
      <c r="AZ52" s="47"/>
      <c r="BA52" s="48"/>
      <c r="BB52" s="59"/>
      <c r="BC52" s="47"/>
      <c r="BD52" s="47"/>
      <c r="BE52" s="47"/>
      <c r="BF52" s="48"/>
      <c r="BG52" s="59"/>
      <c r="BH52" s="47"/>
      <c r="BI52" s="47"/>
      <c r="BJ52" s="47"/>
      <c r="BK52" s="56"/>
    </row>
    <row r="53" ht="21.0" customHeight="1">
      <c r="A53" s="43"/>
      <c r="B53" s="44" t="s">
        <v>200</v>
      </c>
      <c r="C53" s="44" t="s">
        <v>269</v>
      </c>
      <c r="D53" s="45">
        <v>45005.0</v>
      </c>
      <c r="E53" s="45">
        <v>45008.0</v>
      </c>
      <c r="F53" s="44" t="s">
        <v>158</v>
      </c>
      <c r="G53" s="44" t="s">
        <v>187</v>
      </c>
      <c r="H53" s="44" t="s">
        <v>27</v>
      </c>
      <c r="I53" s="60"/>
      <c r="J53" s="47"/>
      <c r="K53" s="47"/>
      <c r="L53" s="47"/>
      <c r="M53" s="48"/>
      <c r="N53" s="61"/>
      <c r="O53" s="47"/>
      <c r="P53" s="47"/>
      <c r="Q53" s="47"/>
      <c r="R53" s="48"/>
      <c r="S53" s="46">
        <v>1215.05</v>
      </c>
      <c r="T53" s="47"/>
      <c r="U53" s="47"/>
      <c r="V53" s="47"/>
      <c r="W53" s="48"/>
      <c r="X53" s="105">
        <v>1356.32</v>
      </c>
      <c r="Y53" s="47"/>
      <c r="Z53" s="47"/>
      <c r="AA53" s="47"/>
      <c r="AB53" s="48"/>
      <c r="AC53" s="50"/>
      <c r="AD53" s="47"/>
      <c r="AE53" s="47"/>
      <c r="AF53" s="47"/>
      <c r="AG53" s="48"/>
      <c r="AH53" s="51"/>
      <c r="AI53" s="47"/>
      <c r="AJ53" s="47"/>
      <c r="AK53" s="47"/>
      <c r="AL53" s="48"/>
      <c r="AM53" s="50"/>
      <c r="AN53" s="47"/>
      <c r="AO53" s="47"/>
      <c r="AP53" s="47"/>
      <c r="AQ53" s="48"/>
      <c r="AR53" s="51"/>
      <c r="AS53" s="47"/>
      <c r="AT53" s="47"/>
      <c r="AU53" s="47"/>
      <c r="AV53" s="48"/>
      <c r="AW53" s="53"/>
      <c r="AX53" s="47"/>
      <c r="AY53" s="47"/>
      <c r="AZ53" s="47"/>
      <c r="BA53" s="48"/>
      <c r="BB53" s="59"/>
      <c r="BC53" s="47"/>
      <c r="BD53" s="47"/>
      <c r="BE53" s="47"/>
      <c r="BF53" s="48"/>
      <c r="BG53" s="59"/>
      <c r="BH53" s="47"/>
      <c r="BI53" s="47"/>
      <c r="BJ53" s="47"/>
      <c r="BK53" s="56"/>
    </row>
    <row r="54" ht="21.0" customHeight="1">
      <c r="A54" s="43"/>
      <c r="B54" s="44" t="s">
        <v>185</v>
      </c>
      <c r="C54" s="44" t="s">
        <v>269</v>
      </c>
      <c r="D54" s="45">
        <v>45005.0</v>
      </c>
      <c r="E54" s="45">
        <v>45009.0</v>
      </c>
      <c r="F54" s="44" t="s">
        <v>158</v>
      </c>
      <c r="G54" s="44" t="s">
        <v>187</v>
      </c>
      <c r="H54" s="44" t="s">
        <v>27</v>
      </c>
      <c r="I54" s="60"/>
      <c r="J54" s="47"/>
      <c r="K54" s="47"/>
      <c r="L54" s="47"/>
      <c r="M54" s="48"/>
      <c r="N54" s="61"/>
      <c r="O54" s="47"/>
      <c r="P54" s="47"/>
      <c r="Q54" s="47"/>
      <c r="R54" s="48"/>
      <c r="S54" s="46">
        <v>1500.32</v>
      </c>
      <c r="T54" s="47"/>
      <c r="U54" s="47"/>
      <c r="V54" s="47"/>
      <c r="W54" s="48"/>
      <c r="X54" s="105">
        <v>1435.13</v>
      </c>
      <c r="Y54" s="47"/>
      <c r="Z54" s="47"/>
      <c r="AA54" s="47"/>
      <c r="AB54" s="48"/>
      <c r="AC54" s="50"/>
      <c r="AD54" s="47"/>
      <c r="AE54" s="47"/>
      <c r="AF54" s="47"/>
      <c r="AG54" s="48"/>
      <c r="AH54" s="52"/>
      <c r="AI54" s="47"/>
      <c r="AJ54" s="47"/>
      <c r="AK54" s="47"/>
      <c r="AL54" s="48"/>
      <c r="AM54" s="50"/>
      <c r="AN54" s="47"/>
      <c r="AO54" s="47"/>
      <c r="AP54" s="47"/>
      <c r="AQ54" s="48"/>
      <c r="AR54" s="51"/>
      <c r="AS54" s="47"/>
      <c r="AT54" s="47"/>
      <c r="AU54" s="47"/>
      <c r="AV54" s="48"/>
      <c r="AW54" s="53"/>
      <c r="AX54" s="47"/>
      <c r="AY54" s="47"/>
      <c r="AZ54" s="47"/>
      <c r="BA54" s="48"/>
      <c r="BB54" s="59"/>
      <c r="BC54" s="47"/>
      <c r="BD54" s="47"/>
      <c r="BE54" s="47"/>
      <c r="BF54" s="48"/>
      <c r="BG54" s="59"/>
      <c r="BH54" s="47"/>
      <c r="BI54" s="47"/>
      <c r="BJ54" s="47"/>
      <c r="BK54" s="56"/>
    </row>
    <row r="55" ht="21.0" customHeight="1">
      <c r="A55" s="43"/>
      <c r="B55" s="44" t="s">
        <v>211</v>
      </c>
      <c r="C55" s="44" t="s">
        <v>297</v>
      </c>
      <c r="D55" s="45">
        <v>45033.0</v>
      </c>
      <c r="E55" s="45">
        <v>45037.0</v>
      </c>
      <c r="F55" s="44" t="s">
        <v>36</v>
      </c>
      <c r="G55" s="44" t="s">
        <v>195</v>
      </c>
      <c r="H55" s="44" t="s">
        <v>27</v>
      </c>
      <c r="I55" s="60"/>
      <c r="J55" s="47"/>
      <c r="K55" s="47"/>
      <c r="L55" s="47"/>
      <c r="M55" s="48"/>
      <c r="N55" s="61"/>
      <c r="O55" s="47"/>
      <c r="P55" s="47"/>
      <c r="Q55" s="47"/>
      <c r="R55" s="48"/>
      <c r="S55" s="50"/>
      <c r="T55" s="47"/>
      <c r="U55" s="47"/>
      <c r="V55" s="47"/>
      <c r="W55" s="48"/>
      <c r="X55" s="52"/>
      <c r="Y55" s="47"/>
      <c r="Z55" s="47"/>
      <c r="AA55" s="47"/>
      <c r="AB55" s="48"/>
      <c r="AC55" s="46">
        <v>1748.47</v>
      </c>
      <c r="AD55" s="47"/>
      <c r="AE55" s="47"/>
      <c r="AF55" s="47"/>
      <c r="AG55" s="48"/>
      <c r="AH55" s="105">
        <v>2008.16</v>
      </c>
      <c r="AI55" s="47"/>
      <c r="AJ55" s="47"/>
      <c r="AK55" s="47"/>
      <c r="AL55" s="48"/>
      <c r="AM55" s="50"/>
      <c r="AN55" s="47"/>
      <c r="AO55" s="47"/>
      <c r="AP55" s="47"/>
      <c r="AQ55" s="48"/>
      <c r="AR55" s="51"/>
      <c r="AS55" s="47"/>
      <c r="AT55" s="47"/>
      <c r="AU55" s="47"/>
      <c r="AV55" s="48"/>
      <c r="AW55" s="53"/>
      <c r="AX55" s="47"/>
      <c r="AY55" s="47"/>
      <c r="AZ55" s="47"/>
      <c r="BA55" s="48"/>
      <c r="BB55" s="59"/>
      <c r="BC55" s="47"/>
      <c r="BD55" s="47"/>
      <c r="BE55" s="47"/>
      <c r="BF55" s="48"/>
      <c r="BG55" s="59"/>
      <c r="BH55" s="47"/>
      <c r="BI55" s="47"/>
      <c r="BJ55" s="47"/>
      <c r="BK55" s="56"/>
    </row>
    <row r="56" ht="21.0" customHeight="1">
      <c r="A56" s="43"/>
      <c r="B56" s="44" t="s">
        <v>185</v>
      </c>
      <c r="C56" s="44" t="s">
        <v>311</v>
      </c>
      <c r="D56" s="45">
        <v>45046.0</v>
      </c>
      <c r="E56" s="45">
        <v>45051.0</v>
      </c>
      <c r="F56" s="44" t="s">
        <v>312</v>
      </c>
      <c r="G56" s="44" t="s">
        <v>187</v>
      </c>
      <c r="H56" s="44" t="s">
        <v>27</v>
      </c>
      <c r="I56" s="60"/>
      <c r="J56" s="47"/>
      <c r="K56" s="47"/>
      <c r="L56" s="47"/>
      <c r="M56" s="48"/>
      <c r="N56" s="61"/>
      <c r="O56" s="47"/>
      <c r="P56" s="47"/>
      <c r="Q56" s="47"/>
      <c r="R56" s="48"/>
      <c r="S56" s="50"/>
      <c r="T56" s="47"/>
      <c r="U56" s="47"/>
      <c r="V56" s="47"/>
      <c r="W56" s="48"/>
      <c r="X56" s="52"/>
      <c r="Y56" s="47"/>
      <c r="Z56" s="47"/>
      <c r="AA56" s="47"/>
      <c r="AB56" s="48"/>
      <c r="AC56" s="46">
        <v>3614.74</v>
      </c>
      <c r="AD56" s="47"/>
      <c r="AE56" s="47"/>
      <c r="AF56" s="47"/>
      <c r="AG56" s="48"/>
      <c r="AH56" s="105">
        <v>2632.22</v>
      </c>
      <c r="AI56" s="47"/>
      <c r="AJ56" s="47"/>
      <c r="AK56" s="47"/>
      <c r="AL56" s="48"/>
      <c r="AM56" s="50"/>
      <c r="AN56" s="47"/>
      <c r="AO56" s="47"/>
      <c r="AP56" s="47"/>
      <c r="AQ56" s="48"/>
      <c r="AR56" s="51"/>
      <c r="AS56" s="47"/>
      <c r="AT56" s="47"/>
      <c r="AU56" s="47"/>
      <c r="AV56" s="48"/>
      <c r="AW56" s="53"/>
      <c r="AX56" s="47"/>
      <c r="AY56" s="47"/>
      <c r="AZ56" s="47"/>
      <c r="BA56" s="48"/>
      <c r="BB56" s="59"/>
      <c r="BC56" s="47"/>
      <c r="BD56" s="47"/>
      <c r="BE56" s="47"/>
      <c r="BF56" s="48"/>
      <c r="BG56" s="59"/>
      <c r="BH56" s="47"/>
      <c r="BI56" s="47"/>
      <c r="BJ56" s="47"/>
      <c r="BK56" s="56"/>
    </row>
    <row r="57" ht="21.0" customHeight="1">
      <c r="A57" s="43"/>
      <c r="B57" s="44" t="s">
        <v>200</v>
      </c>
      <c r="C57" s="44" t="s">
        <v>311</v>
      </c>
      <c r="D57" s="45">
        <v>45046.0</v>
      </c>
      <c r="E57" s="45">
        <v>45050.0</v>
      </c>
      <c r="F57" s="44" t="s">
        <v>312</v>
      </c>
      <c r="G57" s="44" t="s">
        <v>187</v>
      </c>
      <c r="H57" s="44" t="s">
        <v>27</v>
      </c>
      <c r="I57" s="60"/>
      <c r="J57" s="47"/>
      <c r="K57" s="47"/>
      <c r="L57" s="47"/>
      <c r="M57" s="48"/>
      <c r="N57" s="61"/>
      <c r="O57" s="47"/>
      <c r="P57" s="47"/>
      <c r="Q57" s="47"/>
      <c r="R57" s="48"/>
      <c r="S57" s="50"/>
      <c r="T57" s="47"/>
      <c r="U57" s="47"/>
      <c r="V57" s="47"/>
      <c r="W57" s="48"/>
      <c r="X57" s="52"/>
      <c r="Y57" s="47"/>
      <c r="Z57" s="47"/>
      <c r="AA57" s="47"/>
      <c r="AB57" s="48"/>
      <c r="AC57" s="46">
        <v>2557.32</v>
      </c>
      <c r="AD57" s="47"/>
      <c r="AE57" s="47"/>
      <c r="AF57" s="47"/>
      <c r="AG57" s="48"/>
      <c r="AH57" s="105">
        <v>2698.55</v>
      </c>
      <c r="AI57" s="47"/>
      <c r="AJ57" s="47"/>
      <c r="AK57" s="47"/>
      <c r="AL57" s="48"/>
      <c r="AM57" s="50"/>
      <c r="AN57" s="47"/>
      <c r="AO57" s="47"/>
      <c r="AP57" s="47"/>
      <c r="AQ57" s="48"/>
      <c r="AR57" s="51"/>
      <c r="AS57" s="47"/>
      <c r="AT57" s="47"/>
      <c r="AU57" s="47"/>
      <c r="AV57" s="48"/>
      <c r="AW57" s="53"/>
      <c r="AX57" s="47"/>
      <c r="AY57" s="47"/>
      <c r="AZ57" s="47"/>
      <c r="BA57" s="48"/>
      <c r="BB57" s="59"/>
      <c r="BC57" s="47"/>
      <c r="BD57" s="47"/>
      <c r="BE57" s="47"/>
      <c r="BF57" s="48"/>
      <c r="BG57" s="59"/>
      <c r="BH57" s="47"/>
      <c r="BI57" s="47"/>
      <c r="BJ57" s="47"/>
      <c r="BK57" s="56"/>
    </row>
    <row r="58" ht="21.0" customHeight="1">
      <c r="A58" s="43"/>
      <c r="B58" s="44" t="s">
        <v>121</v>
      </c>
      <c r="C58" s="44" t="s">
        <v>29</v>
      </c>
      <c r="D58" s="45">
        <v>45047.0</v>
      </c>
      <c r="E58" s="45">
        <v>45050.0</v>
      </c>
      <c r="F58" s="44" t="s">
        <v>180</v>
      </c>
      <c r="G58" s="44" t="s">
        <v>26</v>
      </c>
      <c r="H58" s="44" t="s">
        <v>21</v>
      </c>
      <c r="I58" s="60"/>
      <c r="J58" s="47"/>
      <c r="K58" s="47"/>
      <c r="L58" s="47"/>
      <c r="M58" s="48"/>
      <c r="N58" s="61"/>
      <c r="O58" s="47"/>
      <c r="P58" s="47"/>
      <c r="Q58" s="47"/>
      <c r="R58" s="48"/>
      <c r="S58" s="50"/>
      <c r="T58" s="47"/>
      <c r="U58" s="47"/>
      <c r="V58" s="47"/>
      <c r="W58" s="48"/>
      <c r="X58" s="52"/>
      <c r="Y58" s="47"/>
      <c r="Z58" s="47"/>
      <c r="AA58" s="47"/>
      <c r="AB58" s="48"/>
      <c r="AC58" s="46">
        <v>1143.85</v>
      </c>
      <c r="AD58" s="47"/>
      <c r="AE58" s="47"/>
      <c r="AF58" s="47"/>
      <c r="AG58" s="48"/>
      <c r="AH58" s="105">
        <v>1194.45</v>
      </c>
      <c r="AI58" s="47"/>
      <c r="AJ58" s="47"/>
      <c r="AK58" s="47"/>
      <c r="AL58" s="48"/>
      <c r="AM58" s="50"/>
      <c r="AN58" s="47"/>
      <c r="AO58" s="47"/>
      <c r="AP58" s="47"/>
      <c r="AQ58" s="48"/>
      <c r="AR58" s="51"/>
      <c r="AS58" s="47"/>
      <c r="AT58" s="47"/>
      <c r="AU58" s="47"/>
      <c r="AV58" s="48"/>
      <c r="AW58" s="53"/>
      <c r="AX58" s="47"/>
      <c r="AY58" s="47"/>
      <c r="AZ58" s="47"/>
      <c r="BA58" s="48"/>
      <c r="BB58" s="59"/>
      <c r="BC58" s="47"/>
      <c r="BD58" s="47"/>
      <c r="BE58" s="47"/>
      <c r="BF58" s="48"/>
      <c r="BG58" s="59"/>
      <c r="BH58" s="47"/>
      <c r="BI58" s="47"/>
      <c r="BJ58" s="47"/>
      <c r="BK58" s="56"/>
    </row>
    <row r="59" ht="21.0" customHeight="1">
      <c r="A59" s="43"/>
      <c r="B59" s="44" t="s">
        <v>125</v>
      </c>
      <c r="C59" s="44" t="s">
        <v>29</v>
      </c>
      <c r="D59" s="45">
        <v>45047.0</v>
      </c>
      <c r="E59" s="45">
        <v>45050.0</v>
      </c>
      <c r="F59" s="44" t="s">
        <v>180</v>
      </c>
      <c r="G59" s="44" t="s">
        <v>26</v>
      </c>
      <c r="H59" s="44" t="s">
        <v>21</v>
      </c>
      <c r="I59" s="60"/>
      <c r="J59" s="47"/>
      <c r="K59" s="47"/>
      <c r="L59" s="47"/>
      <c r="M59" s="48"/>
      <c r="N59" s="61"/>
      <c r="O59" s="47"/>
      <c r="P59" s="47"/>
      <c r="Q59" s="47"/>
      <c r="R59" s="48"/>
      <c r="S59" s="50"/>
      <c r="T59" s="47"/>
      <c r="U59" s="47"/>
      <c r="V59" s="47"/>
      <c r="W59" s="48"/>
      <c r="X59" s="52"/>
      <c r="Y59" s="47"/>
      <c r="Z59" s="47"/>
      <c r="AA59" s="47"/>
      <c r="AB59" s="48"/>
      <c r="AC59" s="46">
        <v>1123.97</v>
      </c>
      <c r="AD59" s="47"/>
      <c r="AE59" s="47"/>
      <c r="AF59" s="47"/>
      <c r="AG59" s="48"/>
      <c r="AH59" s="105">
        <v>1194.3</v>
      </c>
      <c r="AI59" s="47"/>
      <c r="AJ59" s="47"/>
      <c r="AK59" s="47"/>
      <c r="AL59" s="48"/>
      <c r="AM59" s="50"/>
      <c r="AN59" s="47"/>
      <c r="AO59" s="47"/>
      <c r="AP59" s="47"/>
      <c r="AQ59" s="48"/>
      <c r="AR59" s="51"/>
      <c r="AS59" s="47"/>
      <c r="AT59" s="47"/>
      <c r="AU59" s="47"/>
      <c r="AV59" s="48"/>
      <c r="AW59" s="53"/>
      <c r="AX59" s="47"/>
      <c r="AY59" s="47"/>
      <c r="AZ59" s="47"/>
      <c r="BA59" s="48"/>
      <c r="BB59" s="59"/>
      <c r="BC59" s="47"/>
      <c r="BD59" s="47"/>
      <c r="BE59" s="47"/>
      <c r="BF59" s="48"/>
      <c r="BG59" s="59"/>
      <c r="BH59" s="47"/>
      <c r="BI59" s="47"/>
      <c r="BJ59" s="47"/>
      <c r="BK59" s="56"/>
    </row>
    <row r="60" ht="21.0" customHeight="1">
      <c r="A60" s="43"/>
      <c r="B60" s="44" t="s">
        <v>200</v>
      </c>
      <c r="C60" s="44" t="s">
        <v>336</v>
      </c>
      <c r="D60" s="45">
        <v>45062.0</v>
      </c>
      <c r="E60" s="45">
        <v>45064.0</v>
      </c>
      <c r="F60" s="44" t="s">
        <v>337</v>
      </c>
      <c r="G60" s="44" t="s">
        <v>187</v>
      </c>
      <c r="H60" s="44" t="s">
        <v>27</v>
      </c>
      <c r="I60" s="60"/>
      <c r="J60" s="47"/>
      <c r="K60" s="47"/>
      <c r="L60" s="47"/>
      <c r="M60" s="48"/>
      <c r="N60" s="61"/>
      <c r="O60" s="47"/>
      <c r="P60" s="47"/>
      <c r="Q60" s="47"/>
      <c r="R60" s="48"/>
      <c r="S60" s="50"/>
      <c r="T60" s="47"/>
      <c r="U60" s="47"/>
      <c r="V60" s="47"/>
      <c r="W60" s="48"/>
      <c r="X60" s="52"/>
      <c r="Y60" s="47"/>
      <c r="Z60" s="47"/>
      <c r="AA60" s="47"/>
      <c r="AB60" s="48"/>
      <c r="AC60" s="46">
        <v>1548.98</v>
      </c>
      <c r="AD60" s="47"/>
      <c r="AE60" s="47"/>
      <c r="AF60" s="47"/>
      <c r="AG60" s="48"/>
      <c r="AH60" s="105">
        <v>1561.94</v>
      </c>
      <c r="AI60" s="47"/>
      <c r="AJ60" s="47"/>
      <c r="AK60" s="47"/>
      <c r="AL60" s="48"/>
      <c r="AM60" s="50"/>
      <c r="AN60" s="47"/>
      <c r="AO60" s="47"/>
      <c r="AP60" s="47"/>
      <c r="AQ60" s="48"/>
      <c r="AR60" s="51"/>
      <c r="AS60" s="47"/>
      <c r="AT60" s="47"/>
      <c r="AU60" s="47"/>
      <c r="AV60" s="48"/>
      <c r="AW60" s="53"/>
      <c r="AX60" s="47"/>
      <c r="AY60" s="47"/>
      <c r="AZ60" s="47"/>
      <c r="BA60" s="48"/>
      <c r="BB60" s="59"/>
      <c r="BC60" s="47"/>
      <c r="BD60" s="47"/>
      <c r="BE60" s="47"/>
      <c r="BF60" s="48"/>
      <c r="BG60" s="59"/>
      <c r="BH60" s="47"/>
      <c r="BI60" s="47"/>
      <c r="BJ60" s="47"/>
      <c r="BK60" s="56"/>
    </row>
    <row r="61" ht="21.0" customHeight="1">
      <c r="A61" s="43"/>
      <c r="B61" s="44" t="s">
        <v>315</v>
      </c>
      <c r="C61" s="44" t="s">
        <v>311</v>
      </c>
      <c r="D61" s="45">
        <v>45046.0</v>
      </c>
      <c r="E61" s="45">
        <v>45051.0</v>
      </c>
      <c r="F61" s="44" t="s">
        <v>312</v>
      </c>
      <c r="G61" s="44" t="s">
        <v>187</v>
      </c>
      <c r="H61" s="44" t="s">
        <v>27</v>
      </c>
      <c r="I61" s="60"/>
      <c r="J61" s="47"/>
      <c r="K61" s="47"/>
      <c r="L61" s="47"/>
      <c r="M61" s="48"/>
      <c r="N61" s="61"/>
      <c r="O61" s="47"/>
      <c r="P61" s="47"/>
      <c r="Q61" s="47"/>
      <c r="R61" s="48"/>
      <c r="S61" s="50"/>
      <c r="T61" s="47"/>
      <c r="U61" s="47"/>
      <c r="V61" s="47"/>
      <c r="W61" s="48"/>
      <c r="X61" s="52"/>
      <c r="Y61" s="47"/>
      <c r="Z61" s="47"/>
      <c r="AA61" s="47"/>
      <c r="AB61" s="48"/>
      <c r="AC61" s="46">
        <v>2900.5</v>
      </c>
      <c r="AD61" s="47"/>
      <c r="AE61" s="47"/>
      <c r="AF61" s="47"/>
      <c r="AG61" s="48"/>
      <c r="AH61" s="212">
        <v>2896.6</v>
      </c>
      <c r="AI61" s="47"/>
      <c r="AJ61" s="47"/>
      <c r="AK61" s="47"/>
      <c r="AL61" s="48"/>
      <c r="AM61" s="50"/>
      <c r="AN61" s="47"/>
      <c r="AO61" s="47"/>
      <c r="AP61" s="47"/>
      <c r="AQ61" s="48"/>
      <c r="AR61" s="51"/>
      <c r="AS61" s="47"/>
      <c r="AT61" s="47"/>
      <c r="AU61" s="47"/>
      <c r="AV61" s="48"/>
      <c r="AW61" s="53"/>
      <c r="AX61" s="47"/>
      <c r="AY61" s="47"/>
      <c r="AZ61" s="47"/>
      <c r="BA61" s="48"/>
      <c r="BB61" s="59"/>
      <c r="BC61" s="47"/>
      <c r="BD61" s="47"/>
      <c r="BE61" s="47"/>
      <c r="BF61" s="48"/>
      <c r="BG61" s="59"/>
      <c r="BH61" s="47"/>
      <c r="BI61" s="47"/>
      <c r="BJ61" s="47"/>
      <c r="BK61" s="56"/>
    </row>
    <row r="62" ht="21.0" customHeight="1">
      <c r="A62" s="43"/>
      <c r="B62" s="44" t="s">
        <v>211</v>
      </c>
      <c r="C62" s="44" t="s">
        <v>343</v>
      </c>
      <c r="D62" s="45">
        <v>45050.0</v>
      </c>
      <c r="E62" s="45">
        <v>45050.0</v>
      </c>
      <c r="F62" s="44" t="s">
        <v>137</v>
      </c>
      <c r="G62" s="44" t="s">
        <v>64</v>
      </c>
      <c r="H62" s="44" t="s">
        <v>27</v>
      </c>
      <c r="I62" s="60"/>
      <c r="J62" s="47"/>
      <c r="K62" s="47"/>
      <c r="L62" s="47"/>
      <c r="M62" s="48"/>
      <c r="N62" s="61"/>
      <c r="O62" s="47"/>
      <c r="P62" s="47"/>
      <c r="Q62" s="47"/>
      <c r="R62" s="48"/>
      <c r="S62" s="50"/>
      <c r="T62" s="47"/>
      <c r="U62" s="47"/>
      <c r="V62" s="47"/>
      <c r="W62" s="48"/>
      <c r="X62" s="52"/>
      <c r="Y62" s="47"/>
      <c r="Z62" s="47"/>
      <c r="AA62" s="47"/>
      <c r="AB62" s="48"/>
      <c r="AC62" s="46">
        <v>184.8</v>
      </c>
      <c r="AD62" s="47"/>
      <c r="AE62" s="47"/>
      <c r="AF62" s="47"/>
      <c r="AG62" s="48"/>
      <c r="AH62" s="105">
        <v>184.8</v>
      </c>
      <c r="AI62" s="47"/>
      <c r="AJ62" s="47"/>
      <c r="AK62" s="47"/>
      <c r="AL62" s="48"/>
      <c r="AM62" s="50"/>
      <c r="AN62" s="47"/>
      <c r="AO62" s="47"/>
      <c r="AP62" s="47"/>
      <c r="AQ62" s="48"/>
      <c r="AR62" s="51"/>
      <c r="AS62" s="47"/>
      <c r="AT62" s="47"/>
      <c r="AU62" s="47"/>
      <c r="AV62" s="48"/>
      <c r="AW62" s="53"/>
      <c r="AX62" s="47"/>
      <c r="AY62" s="47"/>
      <c r="AZ62" s="47"/>
      <c r="BA62" s="48"/>
      <c r="BB62" s="59"/>
      <c r="BC62" s="47"/>
      <c r="BD62" s="47"/>
      <c r="BE62" s="47"/>
      <c r="BF62" s="48"/>
      <c r="BG62" s="59"/>
      <c r="BH62" s="47"/>
      <c r="BI62" s="47"/>
      <c r="BJ62" s="47"/>
      <c r="BK62" s="56"/>
    </row>
    <row r="63" ht="21.0" customHeight="1">
      <c r="A63" s="43"/>
      <c r="B63" s="44" t="s">
        <v>211</v>
      </c>
      <c r="C63" s="44" t="s">
        <v>390</v>
      </c>
      <c r="D63" s="45">
        <v>45125.0</v>
      </c>
      <c r="E63" s="45">
        <v>45127.0</v>
      </c>
      <c r="F63" s="44" t="s">
        <v>391</v>
      </c>
      <c r="G63" s="44" t="s">
        <v>187</v>
      </c>
      <c r="H63" s="44" t="s">
        <v>27</v>
      </c>
      <c r="I63" s="60"/>
      <c r="J63" s="47"/>
      <c r="K63" s="47"/>
      <c r="L63" s="47"/>
      <c r="M63" s="48"/>
      <c r="N63" s="61"/>
      <c r="O63" s="47"/>
      <c r="P63" s="47"/>
      <c r="Q63" s="47"/>
      <c r="R63" s="48"/>
      <c r="S63" s="50"/>
      <c r="T63" s="47"/>
      <c r="U63" s="47"/>
      <c r="V63" s="47"/>
      <c r="W63" s="48"/>
      <c r="X63" s="52"/>
      <c r="Y63" s="47"/>
      <c r="Z63" s="47"/>
      <c r="AA63" s="47"/>
      <c r="AB63" s="48"/>
      <c r="AC63" s="50"/>
      <c r="AD63" s="47"/>
      <c r="AE63" s="47"/>
      <c r="AF63" s="47"/>
      <c r="AG63" s="48"/>
      <c r="AH63" s="52"/>
      <c r="AI63" s="47"/>
      <c r="AJ63" s="47"/>
      <c r="AK63" s="47"/>
      <c r="AL63" s="48"/>
      <c r="AM63" s="46">
        <v>1010.07</v>
      </c>
      <c r="AN63" s="47"/>
      <c r="AO63" s="47"/>
      <c r="AP63" s="47"/>
      <c r="AQ63" s="48"/>
      <c r="AR63" s="105">
        <v>949.37</v>
      </c>
      <c r="AS63" s="47"/>
      <c r="AT63" s="47"/>
      <c r="AU63" s="47"/>
      <c r="AV63" s="48"/>
      <c r="AW63" s="53"/>
      <c r="AX63" s="47"/>
      <c r="AY63" s="47"/>
      <c r="AZ63" s="47"/>
      <c r="BA63" s="48"/>
      <c r="BB63" s="59"/>
      <c r="BC63" s="47"/>
      <c r="BD63" s="47"/>
      <c r="BE63" s="47"/>
      <c r="BF63" s="48"/>
      <c r="BG63" s="59"/>
      <c r="BH63" s="47"/>
      <c r="BI63" s="47"/>
      <c r="BJ63" s="47"/>
      <c r="BK63" s="56"/>
    </row>
    <row r="64" ht="21.0" customHeight="1">
      <c r="A64" s="43"/>
      <c r="B64" s="44" t="s">
        <v>121</v>
      </c>
      <c r="C64" s="44" t="s">
        <v>390</v>
      </c>
      <c r="D64" s="102">
        <v>45125.0</v>
      </c>
      <c r="E64" s="45">
        <v>45127.0</v>
      </c>
      <c r="F64" s="44" t="s">
        <v>391</v>
      </c>
      <c r="G64" s="44" t="s">
        <v>187</v>
      </c>
      <c r="H64" s="44" t="s">
        <v>27</v>
      </c>
      <c r="I64" s="60"/>
      <c r="J64" s="47"/>
      <c r="K64" s="47"/>
      <c r="L64" s="47"/>
      <c r="M64" s="48"/>
      <c r="N64" s="61"/>
      <c r="O64" s="47"/>
      <c r="P64" s="47"/>
      <c r="Q64" s="47"/>
      <c r="R64" s="48"/>
      <c r="S64" s="50"/>
      <c r="T64" s="47"/>
      <c r="U64" s="47"/>
      <c r="V64" s="47"/>
      <c r="W64" s="48"/>
      <c r="X64" s="52"/>
      <c r="Y64" s="47"/>
      <c r="Z64" s="47"/>
      <c r="AA64" s="47"/>
      <c r="AB64" s="48"/>
      <c r="AC64" s="50"/>
      <c r="AD64" s="47"/>
      <c r="AE64" s="47"/>
      <c r="AF64" s="47"/>
      <c r="AG64" s="48"/>
      <c r="AH64" s="52"/>
      <c r="AI64" s="47"/>
      <c r="AJ64" s="47"/>
      <c r="AK64" s="47"/>
      <c r="AL64" s="48"/>
      <c r="AM64" s="46">
        <v>918.46</v>
      </c>
      <c r="AN64" s="47"/>
      <c r="AO64" s="47"/>
      <c r="AP64" s="47"/>
      <c r="AQ64" s="48"/>
      <c r="AR64" s="105">
        <v>1002.11</v>
      </c>
      <c r="AS64" s="47"/>
      <c r="AT64" s="47"/>
      <c r="AU64" s="47"/>
      <c r="AV64" s="48"/>
      <c r="AW64" s="53"/>
      <c r="AX64" s="47"/>
      <c r="AY64" s="47"/>
      <c r="AZ64" s="47"/>
      <c r="BA64" s="48"/>
      <c r="BB64" s="59"/>
      <c r="BC64" s="47"/>
      <c r="BD64" s="47"/>
      <c r="BE64" s="47"/>
      <c r="BF64" s="48"/>
      <c r="BG64" s="59"/>
      <c r="BH64" s="47"/>
      <c r="BI64" s="47"/>
      <c r="BJ64" s="47"/>
      <c r="BK64" s="56"/>
    </row>
    <row r="65" ht="21.0" customHeight="1">
      <c r="A65" s="43"/>
      <c r="B65" s="44" t="s">
        <v>200</v>
      </c>
      <c r="C65" s="44" t="s">
        <v>390</v>
      </c>
      <c r="D65" s="45">
        <v>45125.0</v>
      </c>
      <c r="E65" s="45">
        <v>45127.0</v>
      </c>
      <c r="F65" s="44" t="s">
        <v>391</v>
      </c>
      <c r="G65" s="44" t="s">
        <v>187</v>
      </c>
      <c r="H65" s="44" t="s">
        <v>27</v>
      </c>
      <c r="I65" s="60"/>
      <c r="J65" s="47"/>
      <c r="K65" s="47"/>
      <c r="L65" s="47"/>
      <c r="M65" s="48"/>
      <c r="N65" s="61"/>
      <c r="O65" s="47"/>
      <c r="P65" s="47"/>
      <c r="Q65" s="47"/>
      <c r="R65" s="48"/>
      <c r="S65" s="50"/>
      <c r="T65" s="47"/>
      <c r="U65" s="47"/>
      <c r="V65" s="47"/>
      <c r="W65" s="48"/>
      <c r="X65" s="52"/>
      <c r="Y65" s="47"/>
      <c r="Z65" s="47"/>
      <c r="AA65" s="47"/>
      <c r="AB65" s="48"/>
      <c r="AC65" s="50"/>
      <c r="AD65" s="47"/>
      <c r="AE65" s="47"/>
      <c r="AF65" s="47"/>
      <c r="AG65" s="48"/>
      <c r="AH65" s="52"/>
      <c r="AI65" s="47"/>
      <c r="AJ65" s="47"/>
      <c r="AK65" s="47"/>
      <c r="AL65" s="48"/>
      <c r="AM65" s="46">
        <v>938.46</v>
      </c>
      <c r="AN65" s="47"/>
      <c r="AO65" s="47"/>
      <c r="AP65" s="47"/>
      <c r="AQ65" s="48"/>
      <c r="AR65" s="105">
        <v>931.32</v>
      </c>
      <c r="AS65" s="47"/>
      <c r="AT65" s="47"/>
      <c r="AU65" s="47"/>
      <c r="AV65" s="48"/>
      <c r="AW65" s="53"/>
      <c r="AX65" s="47"/>
      <c r="AY65" s="47"/>
      <c r="AZ65" s="47"/>
      <c r="BA65" s="48"/>
      <c r="BB65" s="59"/>
      <c r="BC65" s="47"/>
      <c r="BD65" s="47"/>
      <c r="BE65" s="47"/>
      <c r="BF65" s="48"/>
      <c r="BG65" s="59"/>
      <c r="BH65" s="47"/>
      <c r="BI65" s="47"/>
      <c r="BJ65" s="47"/>
      <c r="BK65" s="56"/>
    </row>
    <row r="66" ht="21.0" customHeight="1">
      <c r="A66" s="43"/>
      <c r="B66" s="44" t="s">
        <v>185</v>
      </c>
      <c r="C66" s="44" t="s">
        <v>390</v>
      </c>
      <c r="D66" s="45">
        <v>45125.0</v>
      </c>
      <c r="E66" s="45">
        <v>45127.0</v>
      </c>
      <c r="F66" s="44" t="s">
        <v>391</v>
      </c>
      <c r="G66" s="44" t="s">
        <v>187</v>
      </c>
      <c r="H66" s="44" t="s">
        <v>27</v>
      </c>
      <c r="I66" s="60"/>
      <c r="J66" s="47"/>
      <c r="K66" s="47"/>
      <c r="L66" s="47"/>
      <c r="M66" s="48"/>
      <c r="N66" s="61"/>
      <c r="O66" s="47"/>
      <c r="P66" s="47"/>
      <c r="Q66" s="47"/>
      <c r="R66" s="48"/>
      <c r="S66" s="50"/>
      <c r="T66" s="47"/>
      <c r="U66" s="47"/>
      <c r="V66" s="47"/>
      <c r="W66" s="48"/>
      <c r="X66" s="52"/>
      <c r="Y66" s="47"/>
      <c r="Z66" s="47"/>
      <c r="AA66" s="47"/>
      <c r="AB66" s="48"/>
      <c r="AC66" s="50"/>
      <c r="AD66" s="47"/>
      <c r="AE66" s="47"/>
      <c r="AF66" s="47"/>
      <c r="AG66" s="48"/>
      <c r="AH66" s="52"/>
      <c r="AI66" s="47"/>
      <c r="AJ66" s="47"/>
      <c r="AK66" s="47"/>
      <c r="AL66" s="48"/>
      <c r="AM66" s="46">
        <v>1223.77</v>
      </c>
      <c r="AN66" s="47"/>
      <c r="AO66" s="47"/>
      <c r="AP66" s="47"/>
      <c r="AQ66" s="48"/>
      <c r="AR66" s="105">
        <v>1286.24</v>
      </c>
      <c r="AS66" s="47"/>
      <c r="AT66" s="47"/>
      <c r="AU66" s="47"/>
      <c r="AV66" s="48"/>
      <c r="AW66" s="53"/>
      <c r="AX66" s="47"/>
      <c r="AY66" s="47"/>
      <c r="AZ66" s="47"/>
      <c r="BA66" s="48"/>
      <c r="BB66" s="59"/>
      <c r="BC66" s="47"/>
      <c r="BD66" s="47"/>
      <c r="BE66" s="47"/>
      <c r="BF66" s="48"/>
      <c r="BG66" s="59"/>
      <c r="BH66" s="47"/>
      <c r="BI66" s="47"/>
      <c r="BJ66" s="47"/>
      <c r="BK66" s="56"/>
    </row>
    <row r="67" ht="21.0" customHeight="1">
      <c r="A67" s="43"/>
      <c r="B67" s="44" t="s">
        <v>121</v>
      </c>
      <c r="C67" s="44" t="s">
        <v>359</v>
      </c>
      <c r="D67" s="45">
        <v>45152.0</v>
      </c>
      <c r="E67" s="45">
        <v>45156.0</v>
      </c>
      <c r="F67" s="44" t="s">
        <v>69</v>
      </c>
      <c r="G67" s="44" t="s">
        <v>64</v>
      </c>
      <c r="H67" s="44" t="s">
        <v>21</v>
      </c>
      <c r="I67" s="60"/>
      <c r="J67" s="47"/>
      <c r="K67" s="47"/>
      <c r="L67" s="47"/>
      <c r="M67" s="48"/>
      <c r="N67" s="61"/>
      <c r="O67" s="47"/>
      <c r="P67" s="47"/>
      <c r="Q67" s="47"/>
      <c r="R67" s="48"/>
      <c r="S67" s="50"/>
      <c r="T67" s="47"/>
      <c r="U67" s="47"/>
      <c r="V67" s="47"/>
      <c r="W67" s="48"/>
      <c r="X67" s="52"/>
      <c r="Y67" s="47"/>
      <c r="Z67" s="47"/>
      <c r="AA67" s="47"/>
      <c r="AB67" s="48"/>
      <c r="AC67" s="50"/>
      <c r="AD67" s="47"/>
      <c r="AE67" s="47"/>
      <c r="AF67" s="47"/>
      <c r="AG67" s="48"/>
      <c r="AH67" s="52"/>
      <c r="AI67" s="47"/>
      <c r="AJ67" s="47"/>
      <c r="AK67" s="47"/>
      <c r="AL67" s="48"/>
      <c r="AM67" s="46">
        <v>1477.8</v>
      </c>
      <c r="AN67" s="47"/>
      <c r="AO67" s="47"/>
      <c r="AP67" s="47"/>
      <c r="AQ67" s="48"/>
      <c r="AR67" s="105">
        <v>1510.14</v>
      </c>
      <c r="AS67" s="47"/>
      <c r="AT67" s="47"/>
      <c r="AU67" s="47"/>
      <c r="AV67" s="48"/>
      <c r="AW67" s="53"/>
      <c r="AX67" s="47"/>
      <c r="AY67" s="47"/>
      <c r="AZ67" s="47"/>
      <c r="BA67" s="48"/>
      <c r="BB67" s="59"/>
      <c r="BC67" s="47"/>
      <c r="BD67" s="47"/>
      <c r="BE67" s="47"/>
      <c r="BF67" s="48"/>
      <c r="BG67" s="59"/>
      <c r="BH67" s="47"/>
      <c r="BI67" s="47"/>
      <c r="BJ67" s="47"/>
      <c r="BK67" s="56"/>
    </row>
    <row r="68" ht="21.0" customHeight="1">
      <c r="A68" s="43"/>
      <c r="B68" s="44" t="s">
        <v>407</v>
      </c>
      <c r="C68" s="44" t="s">
        <v>359</v>
      </c>
      <c r="D68" s="45">
        <v>45152.0</v>
      </c>
      <c r="E68" s="45">
        <v>45156.0</v>
      </c>
      <c r="F68" s="44" t="s">
        <v>69</v>
      </c>
      <c r="G68" s="44" t="s">
        <v>64</v>
      </c>
      <c r="H68" s="44" t="s">
        <v>21</v>
      </c>
      <c r="I68" s="60"/>
      <c r="J68" s="47"/>
      <c r="K68" s="47"/>
      <c r="L68" s="47"/>
      <c r="M68" s="48"/>
      <c r="N68" s="61"/>
      <c r="O68" s="47"/>
      <c r="P68" s="47"/>
      <c r="Q68" s="47"/>
      <c r="R68" s="48"/>
      <c r="S68" s="50"/>
      <c r="T68" s="47"/>
      <c r="U68" s="47"/>
      <c r="V68" s="47"/>
      <c r="W68" s="48"/>
      <c r="X68" s="52"/>
      <c r="Y68" s="47"/>
      <c r="Z68" s="47"/>
      <c r="AA68" s="47"/>
      <c r="AB68" s="48"/>
      <c r="AC68" s="50"/>
      <c r="AD68" s="47"/>
      <c r="AE68" s="47"/>
      <c r="AF68" s="47"/>
      <c r="AG68" s="48"/>
      <c r="AH68" s="52"/>
      <c r="AI68" s="47"/>
      <c r="AJ68" s="47"/>
      <c r="AK68" s="47"/>
      <c r="AL68" s="48"/>
      <c r="AM68" s="46">
        <v>1477.34</v>
      </c>
      <c r="AN68" s="47"/>
      <c r="AO68" s="47"/>
      <c r="AP68" s="47"/>
      <c r="AQ68" s="48"/>
      <c r="AR68" s="105">
        <v>1398.33</v>
      </c>
      <c r="AS68" s="47"/>
      <c r="AT68" s="47"/>
      <c r="AU68" s="47"/>
      <c r="AV68" s="48"/>
      <c r="AW68" s="53"/>
      <c r="AX68" s="47"/>
      <c r="AY68" s="47"/>
      <c r="AZ68" s="47"/>
      <c r="BA68" s="48"/>
      <c r="BB68" s="59"/>
      <c r="BC68" s="47"/>
      <c r="BD68" s="47"/>
      <c r="BE68" s="47"/>
      <c r="BF68" s="48"/>
      <c r="BG68" s="59"/>
      <c r="BH68" s="47"/>
      <c r="BI68" s="47"/>
      <c r="BJ68" s="47"/>
      <c r="BK68" s="56"/>
    </row>
    <row r="69" ht="21.0" customHeight="1">
      <c r="A69" s="43"/>
      <c r="B69" s="44" t="s">
        <v>200</v>
      </c>
      <c r="C69" s="44" t="s">
        <v>359</v>
      </c>
      <c r="D69" s="45">
        <v>45152.0</v>
      </c>
      <c r="E69" s="45">
        <v>45156.0</v>
      </c>
      <c r="F69" s="44" t="s">
        <v>69</v>
      </c>
      <c r="G69" s="44" t="s">
        <v>64</v>
      </c>
      <c r="H69" s="44" t="s">
        <v>21</v>
      </c>
      <c r="I69" s="60"/>
      <c r="J69" s="47"/>
      <c r="K69" s="47"/>
      <c r="L69" s="47"/>
      <c r="M69" s="48"/>
      <c r="N69" s="61"/>
      <c r="O69" s="47"/>
      <c r="P69" s="47"/>
      <c r="Q69" s="47"/>
      <c r="R69" s="48"/>
      <c r="S69" s="50"/>
      <c r="T69" s="47"/>
      <c r="U69" s="47"/>
      <c r="V69" s="47"/>
      <c r="W69" s="48"/>
      <c r="X69" s="52"/>
      <c r="Y69" s="47"/>
      <c r="Z69" s="47"/>
      <c r="AA69" s="47"/>
      <c r="AB69" s="48"/>
      <c r="AC69" s="50"/>
      <c r="AD69" s="47"/>
      <c r="AE69" s="47"/>
      <c r="AF69" s="47"/>
      <c r="AG69" s="48"/>
      <c r="AH69" s="52"/>
      <c r="AI69" s="47"/>
      <c r="AJ69" s="47"/>
      <c r="AK69" s="47"/>
      <c r="AL69" s="48"/>
      <c r="AM69" s="46">
        <v>1425.78</v>
      </c>
      <c r="AN69" s="47"/>
      <c r="AO69" s="47"/>
      <c r="AP69" s="47"/>
      <c r="AQ69" s="48"/>
      <c r="AR69" s="105">
        <v>1437.96</v>
      </c>
      <c r="AS69" s="47"/>
      <c r="AT69" s="47"/>
      <c r="AU69" s="47"/>
      <c r="AV69" s="48"/>
      <c r="AW69" s="53"/>
      <c r="AX69" s="47"/>
      <c r="AY69" s="47"/>
      <c r="AZ69" s="47"/>
      <c r="BA69" s="48"/>
      <c r="BB69" s="59"/>
      <c r="BC69" s="47"/>
      <c r="BD69" s="47"/>
      <c r="BE69" s="47"/>
      <c r="BF69" s="48"/>
      <c r="BG69" s="59"/>
      <c r="BH69" s="47"/>
      <c r="BI69" s="47"/>
      <c r="BJ69" s="47"/>
      <c r="BK69" s="56"/>
    </row>
    <row r="70" ht="21.0" customHeight="1">
      <c r="A70" s="43"/>
      <c r="B70" s="44" t="s">
        <v>185</v>
      </c>
      <c r="C70" s="44" t="s">
        <v>359</v>
      </c>
      <c r="D70" s="45">
        <v>45152.0</v>
      </c>
      <c r="E70" s="45">
        <v>45156.0</v>
      </c>
      <c r="F70" s="44" t="s">
        <v>69</v>
      </c>
      <c r="G70" s="44" t="s">
        <v>64</v>
      </c>
      <c r="H70" s="44" t="s">
        <v>21</v>
      </c>
      <c r="I70" s="60"/>
      <c r="J70" s="47"/>
      <c r="K70" s="47"/>
      <c r="L70" s="47"/>
      <c r="M70" s="48"/>
      <c r="N70" s="61"/>
      <c r="O70" s="47"/>
      <c r="P70" s="47"/>
      <c r="Q70" s="47"/>
      <c r="R70" s="48"/>
      <c r="S70" s="50"/>
      <c r="T70" s="47"/>
      <c r="U70" s="47"/>
      <c r="V70" s="47"/>
      <c r="W70" s="48"/>
      <c r="X70" s="52"/>
      <c r="Y70" s="47"/>
      <c r="Z70" s="47"/>
      <c r="AA70" s="47"/>
      <c r="AB70" s="48"/>
      <c r="AC70" s="50"/>
      <c r="AD70" s="47"/>
      <c r="AE70" s="47"/>
      <c r="AF70" s="47"/>
      <c r="AG70" s="48"/>
      <c r="AH70" s="52"/>
      <c r="AI70" s="47"/>
      <c r="AJ70" s="47"/>
      <c r="AK70" s="47"/>
      <c r="AL70" s="48"/>
      <c r="AM70" s="46">
        <v>1425.78</v>
      </c>
      <c r="AN70" s="47"/>
      <c r="AO70" s="47"/>
      <c r="AP70" s="47"/>
      <c r="AQ70" s="48"/>
      <c r="AR70" s="105">
        <v>1355.78</v>
      </c>
      <c r="AS70" s="47"/>
      <c r="AT70" s="47"/>
      <c r="AU70" s="47"/>
      <c r="AV70" s="48"/>
      <c r="AW70" s="53"/>
      <c r="AX70" s="47"/>
      <c r="AY70" s="47"/>
      <c r="AZ70" s="47"/>
      <c r="BA70" s="48"/>
      <c r="BB70" s="59"/>
      <c r="BC70" s="47"/>
      <c r="BD70" s="47"/>
      <c r="BE70" s="47"/>
      <c r="BF70" s="48"/>
      <c r="BG70" s="59"/>
      <c r="BH70" s="47"/>
      <c r="BI70" s="47"/>
      <c r="BJ70" s="47"/>
      <c r="BK70" s="56"/>
    </row>
    <row r="71" ht="21.0" customHeight="1">
      <c r="A71" s="43"/>
      <c r="B71" s="44" t="s">
        <v>191</v>
      </c>
      <c r="C71" s="44" t="s">
        <v>359</v>
      </c>
      <c r="D71" s="45">
        <v>45152.0</v>
      </c>
      <c r="E71" s="45">
        <v>45156.0</v>
      </c>
      <c r="F71" s="44" t="s">
        <v>69</v>
      </c>
      <c r="G71" s="44" t="s">
        <v>64</v>
      </c>
      <c r="H71" s="44" t="s">
        <v>21</v>
      </c>
      <c r="I71" s="60"/>
      <c r="J71" s="47"/>
      <c r="K71" s="47"/>
      <c r="L71" s="47"/>
      <c r="M71" s="48"/>
      <c r="N71" s="61"/>
      <c r="O71" s="47"/>
      <c r="P71" s="47"/>
      <c r="Q71" s="47"/>
      <c r="R71" s="48"/>
      <c r="S71" s="50"/>
      <c r="T71" s="47"/>
      <c r="U71" s="47"/>
      <c r="V71" s="47"/>
      <c r="W71" s="48"/>
      <c r="X71" s="52"/>
      <c r="Y71" s="47"/>
      <c r="Z71" s="47"/>
      <c r="AA71" s="47"/>
      <c r="AB71" s="48"/>
      <c r="AC71" s="50"/>
      <c r="AD71" s="47"/>
      <c r="AE71" s="47"/>
      <c r="AF71" s="47"/>
      <c r="AG71" s="48"/>
      <c r="AH71" s="52"/>
      <c r="AI71" s="47"/>
      <c r="AJ71" s="47"/>
      <c r="AK71" s="47"/>
      <c r="AL71" s="48"/>
      <c r="AM71" s="46">
        <v>1729.84</v>
      </c>
      <c r="AN71" s="47"/>
      <c r="AO71" s="47"/>
      <c r="AP71" s="47"/>
      <c r="AQ71" s="48"/>
      <c r="AR71" s="105"/>
      <c r="AS71" s="47"/>
      <c r="AT71" s="47"/>
      <c r="AU71" s="47"/>
      <c r="AV71" s="48"/>
      <c r="AW71" s="53"/>
      <c r="AX71" s="47"/>
      <c r="AY71" s="47"/>
      <c r="AZ71" s="47"/>
      <c r="BA71" s="48"/>
      <c r="BB71" s="59"/>
      <c r="BC71" s="47"/>
      <c r="BD71" s="47"/>
      <c r="BE71" s="47"/>
      <c r="BF71" s="48"/>
      <c r="BG71" s="59"/>
      <c r="BH71" s="47"/>
      <c r="BI71" s="47"/>
      <c r="BJ71" s="47"/>
      <c r="BK71" s="56"/>
    </row>
    <row r="72" ht="21.0" customHeight="1">
      <c r="A72" s="43"/>
      <c r="B72" s="44" t="s">
        <v>211</v>
      </c>
      <c r="C72" s="44" t="s">
        <v>359</v>
      </c>
      <c r="D72" s="45">
        <v>45152.0</v>
      </c>
      <c r="E72" s="45">
        <v>45156.0</v>
      </c>
      <c r="F72" s="44" t="s">
        <v>69</v>
      </c>
      <c r="G72" s="44" t="s">
        <v>64</v>
      </c>
      <c r="H72" s="44" t="s">
        <v>21</v>
      </c>
      <c r="I72" s="60"/>
      <c r="J72" s="47"/>
      <c r="K72" s="47"/>
      <c r="L72" s="47"/>
      <c r="M72" s="48"/>
      <c r="N72" s="61"/>
      <c r="O72" s="47"/>
      <c r="P72" s="47"/>
      <c r="Q72" s="47"/>
      <c r="R72" s="48"/>
      <c r="S72" s="50"/>
      <c r="T72" s="47"/>
      <c r="U72" s="47"/>
      <c r="V72" s="47"/>
      <c r="W72" s="48"/>
      <c r="X72" s="52"/>
      <c r="Y72" s="47"/>
      <c r="Z72" s="47"/>
      <c r="AA72" s="47"/>
      <c r="AB72" s="48"/>
      <c r="AC72" s="50"/>
      <c r="AD72" s="47"/>
      <c r="AE72" s="47"/>
      <c r="AF72" s="47"/>
      <c r="AG72" s="48"/>
      <c r="AH72" s="52"/>
      <c r="AI72" s="47"/>
      <c r="AJ72" s="47"/>
      <c r="AK72" s="47"/>
      <c r="AL72" s="48"/>
      <c r="AM72" s="46">
        <v>1767.25</v>
      </c>
      <c r="AN72" s="47"/>
      <c r="AO72" s="47"/>
      <c r="AP72" s="47"/>
      <c r="AQ72" s="48"/>
      <c r="AR72" s="105">
        <v>1595.21</v>
      </c>
      <c r="AS72" s="47"/>
      <c r="AT72" s="47"/>
      <c r="AU72" s="47"/>
      <c r="AV72" s="48"/>
      <c r="AW72" s="53"/>
      <c r="AX72" s="47"/>
      <c r="AY72" s="47"/>
      <c r="AZ72" s="47"/>
      <c r="BA72" s="48"/>
      <c r="BB72" s="59"/>
      <c r="BC72" s="47"/>
      <c r="BD72" s="47"/>
      <c r="BE72" s="47"/>
      <c r="BF72" s="48"/>
      <c r="BG72" s="59"/>
      <c r="BH72" s="47"/>
      <c r="BI72" s="47"/>
      <c r="BJ72" s="47"/>
      <c r="BK72" s="56"/>
    </row>
    <row r="73" ht="21.0" customHeight="1">
      <c r="A73" s="43"/>
      <c r="B73" s="44" t="s">
        <v>408</v>
      </c>
      <c r="C73" s="44" t="s">
        <v>359</v>
      </c>
      <c r="D73" s="45">
        <v>45152.0</v>
      </c>
      <c r="E73" s="45">
        <v>45156.0</v>
      </c>
      <c r="F73" s="44" t="s">
        <v>69</v>
      </c>
      <c r="G73" s="44" t="s">
        <v>64</v>
      </c>
      <c r="H73" s="44" t="s">
        <v>21</v>
      </c>
      <c r="I73" s="60"/>
      <c r="J73" s="47"/>
      <c r="K73" s="47"/>
      <c r="L73" s="47"/>
      <c r="M73" s="48"/>
      <c r="N73" s="61"/>
      <c r="O73" s="47"/>
      <c r="P73" s="47"/>
      <c r="Q73" s="47"/>
      <c r="R73" s="48"/>
      <c r="S73" s="50"/>
      <c r="T73" s="47"/>
      <c r="U73" s="47"/>
      <c r="V73" s="47"/>
      <c r="W73" s="48"/>
      <c r="X73" s="52"/>
      <c r="Y73" s="47"/>
      <c r="Z73" s="47"/>
      <c r="AA73" s="47"/>
      <c r="AB73" s="48"/>
      <c r="AC73" s="50"/>
      <c r="AD73" s="47"/>
      <c r="AE73" s="47"/>
      <c r="AF73" s="47"/>
      <c r="AG73" s="48"/>
      <c r="AH73" s="52"/>
      <c r="AI73" s="47"/>
      <c r="AJ73" s="47"/>
      <c r="AK73" s="47"/>
      <c r="AL73" s="48"/>
      <c r="AM73" s="46">
        <v>1422.48</v>
      </c>
      <c r="AN73" s="47"/>
      <c r="AO73" s="47"/>
      <c r="AP73" s="47"/>
      <c r="AQ73" s="48"/>
      <c r="AR73" s="105">
        <v>1385.26</v>
      </c>
      <c r="AS73" s="47"/>
      <c r="AT73" s="47"/>
      <c r="AU73" s="47"/>
      <c r="AV73" s="48"/>
      <c r="AW73" s="53"/>
      <c r="AX73" s="47"/>
      <c r="AY73" s="47"/>
      <c r="AZ73" s="47"/>
      <c r="BA73" s="48"/>
      <c r="BB73" s="59"/>
      <c r="BC73" s="47"/>
      <c r="BD73" s="47"/>
      <c r="BE73" s="47"/>
      <c r="BF73" s="48"/>
      <c r="BG73" s="59"/>
      <c r="BH73" s="47"/>
      <c r="BI73" s="47"/>
      <c r="BJ73" s="47"/>
      <c r="BK73" s="56"/>
    </row>
    <row r="74" ht="21.0" customHeight="1">
      <c r="A74" s="43"/>
      <c r="B74" s="44" t="s">
        <v>407</v>
      </c>
      <c r="C74" s="44" t="s">
        <v>122</v>
      </c>
      <c r="D74" s="45">
        <v>45165.0</v>
      </c>
      <c r="E74" s="45">
        <v>45170.0</v>
      </c>
      <c r="F74" s="44" t="s">
        <v>409</v>
      </c>
      <c r="G74" s="44" t="s">
        <v>84</v>
      </c>
      <c r="H74" s="44" t="s">
        <v>124</v>
      </c>
      <c r="I74" s="60"/>
      <c r="J74" s="47"/>
      <c r="K74" s="47"/>
      <c r="L74" s="47"/>
      <c r="M74" s="48"/>
      <c r="N74" s="61"/>
      <c r="O74" s="47"/>
      <c r="P74" s="47"/>
      <c r="Q74" s="47"/>
      <c r="R74" s="48"/>
      <c r="S74" s="50"/>
      <c r="T74" s="47"/>
      <c r="U74" s="47"/>
      <c r="V74" s="47"/>
      <c r="W74" s="48"/>
      <c r="X74" s="52"/>
      <c r="Y74" s="47"/>
      <c r="Z74" s="47"/>
      <c r="AA74" s="47"/>
      <c r="AB74" s="48"/>
      <c r="AC74" s="50"/>
      <c r="AD74" s="47"/>
      <c r="AE74" s="47"/>
      <c r="AF74" s="47"/>
      <c r="AG74" s="48"/>
      <c r="AH74" s="52"/>
      <c r="AI74" s="47"/>
      <c r="AJ74" s="47"/>
      <c r="AK74" s="47"/>
      <c r="AL74" s="48"/>
      <c r="AM74" s="46">
        <v>2474.81</v>
      </c>
      <c r="AN74" s="47"/>
      <c r="AO74" s="47"/>
      <c r="AP74" s="47"/>
      <c r="AQ74" s="48"/>
      <c r="AR74" s="105">
        <v>2391.7</v>
      </c>
      <c r="AS74" s="47"/>
      <c r="AT74" s="47"/>
      <c r="AU74" s="47"/>
      <c r="AV74" s="48"/>
      <c r="AW74" s="53"/>
      <c r="AX74" s="47"/>
      <c r="AY74" s="47"/>
      <c r="AZ74" s="47"/>
      <c r="BA74" s="48"/>
      <c r="BB74" s="59"/>
      <c r="BC74" s="47"/>
      <c r="BD74" s="47"/>
      <c r="BE74" s="47"/>
      <c r="BF74" s="48"/>
      <c r="BG74" s="59"/>
      <c r="BH74" s="47"/>
      <c r="BI74" s="47"/>
      <c r="BJ74" s="47"/>
      <c r="BK74" s="56"/>
    </row>
    <row r="75" ht="21.0" customHeight="1">
      <c r="A75" s="43"/>
      <c r="B75" s="44" t="s">
        <v>125</v>
      </c>
      <c r="C75" s="44" t="s">
        <v>359</v>
      </c>
      <c r="D75" s="45">
        <v>45152.0</v>
      </c>
      <c r="E75" s="45">
        <v>45156.0</v>
      </c>
      <c r="F75" s="44" t="s">
        <v>69</v>
      </c>
      <c r="G75" s="44" t="s">
        <v>64</v>
      </c>
      <c r="H75" s="44" t="s">
        <v>21</v>
      </c>
      <c r="I75" s="60"/>
      <c r="J75" s="47"/>
      <c r="K75" s="47"/>
      <c r="L75" s="47"/>
      <c r="M75" s="48"/>
      <c r="N75" s="61"/>
      <c r="O75" s="47"/>
      <c r="P75" s="47"/>
      <c r="Q75" s="47"/>
      <c r="R75" s="48"/>
      <c r="S75" s="50"/>
      <c r="T75" s="47"/>
      <c r="U75" s="47"/>
      <c r="V75" s="47"/>
      <c r="W75" s="48"/>
      <c r="X75" s="52"/>
      <c r="Y75" s="47"/>
      <c r="Z75" s="47"/>
      <c r="AA75" s="47"/>
      <c r="AB75" s="48"/>
      <c r="AC75" s="50"/>
      <c r="AD75" s="47"/>
      <c r="AE75" s="47"/>
      <c r="AF75" s="47"/>
      <c r="AG75" s="48"/>
      <c r="AH75" s="52"/>
      <c r="AI75" s="47"/>
      <c r="AJ75" s="47"/>
      <c r="AK75" s="47"/>
      <c r="AL75" s="48"/>
      <c r="AM75" s="46">
        <v>1433.78</v>
      </c>
      <c r="AN75" s="47"/>
      <c r="AO75" s="47"/>
      <c r="AP75" s="47"/>
      <c r="AQ75" s="48"/>
      <c r="AR75" s="105">
        <v>1542.85</v>
      </c>
      <c r="AS75" s="47"/>
      <c r="AT75" s="47"/>
      <c r="AU75" s="47"/>
      <c r="AV75" s="48"/>
      <c r="AW75" s="53"/>
      <c r="AX75" s="47"/>
      <c r="AY75" s="47"/>
      <c r="AZ75" s="47"/>
      <c r="BA75" s="48"/>
      <c r="BB75" s="59"/>
      <c r="BC75" s="47"/>
      <c r="BD75" s="47"/>
      <c r="BE75" s="47"/>
      <c r="BF75" s="48"/>
      <c r="BG75" s="59"/>
      <c r="BH75" s="47"/>
      <c r="BI75" s="47"/>
      <c r="BJ75" s="47"/>
      <c r="BK75" s="56"/>
    </row>
    <row r="76" ht="21.0" customHeight="1">
      <c r="A76" s="43"/>
      <c r="B76" s="44" t="s">
        <v>315</v>
      </c>
      <c r="C76" s="44" t="s">
        <v>359</v>
      </c>
      <c r="D76" s="45">
        <v>45152.0</v>
      </c>
      <c r="E76" s="45">
        <v>45156.0</v>
      </c>
      <c r="F76" s="44" t="s">
        <v>69</v>
      </c>
      <c r="G76" s="44" t="s">
        <v>64</v>
      </c>
      <c r="H76" s="44" t="s">
        <v>21</v>
      </c>
      <c r="I76" s="60"/>
      <c r="J76" s="47"/>
      <c r="K76" s="47"/>
      <c r="L76" s="47"/>
      <c r="M76" s="48"/>
      <c r="N76" s="61"/>
      <c r="O76" s="47"/>
      <c r="P76" s="47"/>
      <c r="Q76" s="47"/>
      <c r="R76" s="48"/>
      <c r="S76" s="50"/>
      <c r="T76" s="47"/>
      <c r="U76" s="47"/>
      <c r="V76" s="47"/>
      <c r="W76" s="48"/>
      <c r="X76" s="52"/>
      <c r="Y76" s="47"/>
      <c r="Z76" s="47"/>
      <c r="AA76" s="47"/>
      <c r="AB76" s="48"/>
      <c r="AC76" s="50"/>
      <c r="AD76" s="47"/>
      <c r="AE76" s="47"/>
      <c r="AF76" s="47"/>
      <c r="AG76" s="48"/>
      <c r="AH76" s="52"/>
      <c r="AI76" s="47"/>
      <c r="AJ76" s="47"/>
      <c r="AK76" s="47"/>
      <c r="AL76" s="48"/>
      <c r="AM76" s="46">
        <v>1685.77</v>
      </c>
      <c r="AN76" s="47"/>
      <c r="AO76" s="47"/>
      <c r="AP76" s="47"/>
      <c r="AQ76" s="48"/>
      <c r="AR76" s="105">
        <v>1481.74</v>
      </c>
      <c r="AS76" s="47"/>
      <c r="AT76" s="47"/>
      <c r="AU76" s="47"/>
      <c r="AV76" s="48"/>
      <c r="AW76" s="53"/>
      <c r="AX76" s="47"/>
      <c r="AY76" s="47"/>
      <c r="AZ76" s="47"/>
      <c r="BA76" s="48"/>
      <c r="BB76" s="59"/>
      <c r="BC76" s="47"/>
      <c r="BD76" s="47"/>
      <c r="BE76" s="47"/>
      <c r="BF76" s="48"/>
      <c r="BG76" s="59"/>
      <c r="BH76" s="47"/>
      <c r="BI76" s="47"/>
      <c r="BJ76" s="47"/>
      <c r="BK76" s="56"/>
    </row>
    <row r="77" ht="21.0" customHeight="1">
      <c r="A77" s="43"/>
      <c r="B77" s="44" t="s">
        <v>200</v>
      </c>
      <c r="C77" s="44" t="s">
        <v>410</v>
      </c>
      <c r="D77" s="45">
        <v>45159.0</v>
      </c>
      <c r="E77" s="45">
        <v>45162.0</v>
      </c>
      <c r="F77" s="44" t="s">
        <v>411</v>
      </c>
      <c r="G77" s="44" t="s">
        <v>187</v>
      </c>
      <c r="H77" s="44" t="s">
        <v>27</v>
      </c>
      <c r="I77" s="60"/>
      <c r="J77" s="47"/>
      <c r="K77" s="47"/>
      <c r="L77" s="47"/>
      <c r="M77" s="48"/>
      <c r="N77" s="61"/>
      <c r="O77" s="47"/>
      <c r="P77" s="47"/>
      <c r="Q77" s="47"/>
      <c r="R77" s="48"/>
      <c r="S77" s="50"/>
      <c r="T77" s="47"/>
      <c r="U77" s="47"/>
      <c r="V77" s="47"/>
      <c r="W77" s="48"/>
      <c r="X77" s="52"/>
      <c r="Y77" s="47"/>
      <c r="Z77" s="47"/>
      <c r="AA77" s="47"/>
      <c r="AB77" s="48"/>
      <c r="AC77" s="50"/>
      <c r="AD77" s="47"/>
      <c r="AE77" s="47"/>
      <c r="AF77" s="47"/>
      <c r="AG77" s="48"/>
      <c r="AH77" s="52"/>
      <c r="AI77" s="47"/>
      <c r="AJ77" s="47"/>
      <c r="AK77" s="47"/>
      <c r="AL77" s="48"/>
      <c r="AM77" s="46">
        <v>1141.88</v>
      </c>
      <c r="AN77" s="47"/>
      <c r="AO77" s="47"/>
      <c r="AP77" s="47"/>
      <c r="AQ77" s="48"/>
      <c r="AR77" s="105">
        <v>1139.48</v>
      </c>
      <c r="AS77" s="47"/>
      <c r="AT77" s="47"/>
      <c r="AU77" s="47"/>
      <c r="AV77" s="48"/>
      <c r="AW77" s="53"/>
      <c r="AX77" s="47"/>
      <c r="AY77" s="47"/>
      <c r="AZ77" s="47"/>
      <c r="BA77" s="48"/>
      <c r="BB77" s="59"/>
      <c r="BC77" s="47"/>
      <c r="BD77" s="47"/>
      <c r="BE77" s="47"/>
      <c r="BF77" s="48"/>
      <c r="BG77" s="59"/>
      <c r="BH77" s="47"/>
      <c r="BI77" s="47"/>
      <c r="BJ77" s="47"/>
      <c r="BK77" s="56"/>
    </row>
    <row r="78" ht="21.0" customHeight="1">
      <c r="A78" s="43"/>
      <c r="B78" s="44" t="s">
        <v>200</v>
      </c>
      <c r="C78" s="44" t="s">
        <v>379</v>
      </c>
      <c r="D78" s="45">
        <v>45187.0</v>
      </c>
      <c r="E78" s="45">
        <v>45188.0</v>
      </c>
      <c r="F78" s="44" t="s">
        <v>412</v>
      </c>
      <c r="G78" s="44" t="s">
        <v>187</v>
      </c>
      <c r="H78" s="44" t="s">
        <v>27</v>
      </c>
      <c r="I78" s="60"/>
      <c r="J78" s="47"/>
      <c r="K78" s="47"/>
      <c r="L78" s="47"/>
      <c r="M78" s="48"/>
      <c r="N78" s="61"/>
      <c r="O78" s="47"/>
      <c r="P78" s="47"/>
      <c r="Q78" s="47"/>
      <c r="R78" s="48"/>
      <c r="S78" s="50"/>
      <c r="T78" s="47"/>
      <c r="U78" s="47"/>
      <c r="V78" s="47"/>
      <c r="W78" s="48"/>
      <c r="X78" s="52"/>
      <c r="Y78" s="47"/>
      <c r="Z78" s="47"/>
      <c r="AA78" s="47"/>
      <c r="AB78" s="48"/>
      <c r="AC78" s="50"/>
      <c r="AD78" s="47"/>
      <c r="AE78" s="47"/>
      <c r="AF78" s="47"/>
      <c r="AG78" s="48"/>
      <c r="AH78" s="52"/>
      <c r="AI78" s="47"/>
      <c r="AJ78" s="47"/>
      <c r="AK78" s="47"/>
      <c r="AL78" s="48"/>
      <c r="AM78" s="46">
        <v>763.56</v>
      </c>
      <c r="AN78" s="47"/>
      <c r="AO78" s="47"/>
      <c r="AP78" s="47"/>
      <c r="AQ78" s="48"/>
      <c r="AR78" s="105">
        <v>752.24</v>
      </c>
      <c r="AS78" s="47"/>
      <c r="AT78" s="47"/>
      <c r="AU78" s="47"/>
      <c r="AV78" s="48"/>
      <c r="AW78" s="53"/>
      <c r="AX78" s="47"/>
      <c r="AY78" s="47"/>
      <c r="AZ78" s="47"/>
      <c r="BA78" s="48"/>
      <c r="BB78" s="59"/>
      <c r="BC78" s="47"/>
      <c r="BD78" s="47"/>
      <c r="BE78" s="47"/>
      <c r="BF78" s="48"/>
      <c r="BG78" s="59"/>
      <c r="BH78" s="47"/>
      <c r="BI78" s="47"/>
      <c r="BJ78" s="47"/>
      <c r="BK78" s="56"/>
    </row>
    <row r="79" ht="21.0" customHeight="1">
      <c r="A79" s="43"/>
      <c r="B79" s="44" t="s">
        <v>211</v>
      </c>
      <c r="C79" s="44" t="s">
        <v>379</v>
      </c>
      <c r="D79" s="45">
        <v>45187.0</v>
      </c>
      <c r="E79" s="45">
        <v>45188.0</v>
      </c>
      <c r="F79" s="44" t="s">
        <v>412</v>
      </c>
      <c r="G79" s="44" t="s">
        <v>187</v>
      </c>
      <c r="H79" s="44" t="s">
        <v>27</v>
      </c>
      <c r="I79" s="60"/>
      <c r="J79" s="47"/>
      <c r="K79" s="47"/>
      <c r="L79" s="47"/>
      <c r="M79" s="48"/>
      <c r="N79" s="61"/>
      <c r="O79" s="47"/>
      <c r="P79" s="47"/>
      <c r="Q79" s="47"/>
      <c r="R79" s="48"/>
      <c r="S79" s="50"/>
      <c r="T79" s="47"/>
      <c r="U79" s="47"/>
      <c r="V79" s="47"/>
      <c r="W79" s="48"/>
      <c r="X79" s="52"/>
      <c r="Y79" s="47"/>
      <c r="Z79" s="47"/>
      <c r="AA79" s="47"/>
      <c r="AB79" s="48"/>
      <c r="AC79" s="50"/>
      <c r="AD79" s="47"/>
      <c r="AE79" s="47"/>
      <c r="AF79" s="47"/>
      <c r="AG79" s="48"/>
      <c r="AH79" s="52"/>
      <c r="AI79" s="47"/>
      <c r="AJ79" s="47"/>
      <c r="AK79" s="47"/>
      <c r="AL79" s="48"/>
      <c r="AM79" s="46">
        <v>654.74</v>
      </c>
      <c r="AN79" s="47"/>
      <c r="AO79" s="47"/>
      <c r="AP79" s="47"/>
      <c r="AQ79" s="48"/>
      <c r="AR79" s="105">
        <v>717.24</v>
      </c>
      <c r="AS79" s="47"/>
      <c r="AT79" s="47"/>
      <c r="AU79" s="47"/>
      <c r="AV79" s="48"/>
      <c r="AW79" s="53"/>
      <c r="AX79" s="47"/>
      <c r="AY79" s="47"/>
      <c r="AZ79" s="47"/>
      <c r="BA79" s="48"/>
      <c r="BB79" s="59"/>
      <c r="BC79" s="47"/>
      <c r="BD79" s="47"/>
      <c r="BE79" s="47"/>
      <c r="BF79" s="48"/>
      <c r="BG79" s="59"/>
      <c r="BH79" s="47"/>
      <c r="BI79" s="47"/>
      <c r="BJ79" s="47"/>
      <c r="BK79" s="56"/>
    </row>
    <row r="80" ht="21.0" customHeight="1">
      <c r="A80" s="43"/>
      <c r="B80" s="44" t="s">
        <v>185</v>
      </c>
      <c r="C80" s="44" t="s">
        <v>413</v>
      </c>
      <c r="D80" s="45">
        <v>45193.0</v>
      </c>
      <c r="E80" s="45">
        <v>45197.0</v>
      </c>
      <c r="F80" s="44" t="s">
        <v>414</v>
      </c>
      <c r="G80" s="44" t="s">
        <v>187</v>
      </c>
      <c r="H80" s="44" t="s">
        <v>27</v>
      </c>
      <c r="I80" s="60"/>
      <c r="J80" s="47"/>
      <c r="K80" s="47"/>
      <c r="L80" s="47"/>
      <c r="M80" s="48"/>
      <c r="N80" s="61"/>
      <c r="O80" s="47"/>
      <c r="P80" s="47"/>
      <c r="Q80" s="47"/>
      <c r="R80" s="48"/>
      <c r="S80" s="50"/>
      <c r="T80" s="47"/>
      <c r="U80" s="47"/>
      <c r="V80" s="47"/>
      <c r="W80" s="48"/>
      <c r="X80" s="52"/>
      <c r="Y80" s="47"/>
      <c r="Z80" s="47"/>
      <c r="AA80" s="47"/>
      <c r="AB80" s="48"/>
      <c r="AC80" s="50"/>
      <c r="AD80" s="47"/>
      <c r="AE80" s="47"/>
      <c r="AF80" s="47"/>
      <c r="AG80" s="48"/>
      <c r="AH80" s="52"/>
      <c r="AI80" s="47"/>
      <c r="AJ80" s="47"/>
      <c r="AK80" s="47"/>
      <c r="AL80" s="48"/>
      <c r="AM80" s="46">
        <v>2031.38</v>
      </c>
      <c r="AN80" s="47"/>
      <c r="AO80" s="47"/>
      <c r="AP80" s="47"/>
      <c r="AQ80" s="48"/>
      <c r="AR80" s="105">
        <v>2081.69</v>
      </c>
      <c r="AS80" s="47"/>
      <c r="AT80" s="47"/>
      <c r="AU80" s="47"/>
      <c r="AV80" s="48"/>
      <c r="AW80" s="53"/>
      <c r="AX80" s="47"/>
      <c r="AY80" s="47"/>
      <c r="AZ80" s="47"/>
      <c r="BA80" s="48"/>
      <c r="BB80" s="59"/>
      <c r="BC80" s="47"/>
      <c r="BD80" s="47"/>
      <c r="BE80" s="47"/>
      <c r="BF80" s="48"/>
      <c r="BG80" s="59"/>
      <c r="BH80" s="47"/>
      <c r="BI80" s="47"/>
      <c r="BJ80" s="47"/>
      <c r="BK80" s="56"/>
    </row>
    <row r="81" ht="21.0" customHeight="1">
      <c r="A81" s="17"/>
      <c r="B81" s="92" t="s">
        <v>107</v>
      </c>
      <c r="C81" s="92" t="s">
        <v>108</v>
      </c>
      <c r="D81" s="92" t="s">
        <v>109</v>
      </c>
      <c r="E81" s="93"/>
      <c r="F81" s="92"/>
      <c r="G81" s="92"/>
      <c r="H81" s="94" t="s">
        <v>111</v>
      </c>
      <c r="I81" s="95"/>
      <c r="J81" s="36"/>
      <c r="K81" s="36"/>
      <c r="L81" s="36"/>
      <c r="M81" s="36"/>
      <c r="N81" s="96"/>
      <c r="O81" s="36"/>
      <c r="P81" s="36"/>
      <c r="Q81" s="36"/>
      <c r="R81" s="36"/>
      <c r="S81" s="95"/>
      <c r="T81" s="36"/>
      <c r="U81" s="36"/>
      <c r="V81" s="36"/>
      <c r="W81" s="36"/>
      <c r="X81" s="96"/>
      <c r="Y81" s="36"/>
      <c r="Z81" s="36"/>
      <c r="AA81" s="36"/>
      <c r="AB81" s="36"/>
      <c r="AC81" s="96"/>
      <c r="AD81" s="36"/>
      <c r="AE81" s="36"/>
      <c r="AF81" s="36"/>
      <c r="AG81" s="36"/>
      <c r="AH81" s="96"/>
      <c r="AI81" s="36"/>
      <c r="AJ81" s="36"/>
      <c r="AK81" s="36"/>
      <c r="AL81" s="36"/>
      <c r="AM81" s="96"/>
      <c r="AN81" s="36"/>
      <c r="AO81" s="36"/>
      <c r="AP81" s="36"/>
      <c r="AQ81" s="36"/>
      <c r="AR81" s="96"/>
      <c r="AS81" s="36"/>
      <c r="AT81" s="36"/>
      <c r="AU81" s="36"/>
      <c r="AV81" s="36"/>
      <c r="AW81" s="97"/>
      <c r="AX81" s="36"/>
      <c r="AY81" s="36"/>
      <c r="AZ81" s="36"/>
      <c r="BA81" s="36"/>
      <c r="BB81" s="96"/>
      <c r="BC81" s="36"/>
      <c r="BD81" s="36"/>
      <c r="BE81" s="36"/>
      <c r="BF81" s="36"/>
      <c r="BG81" s="96"/>
      <c r="BH81" s="36"/>
      <c r="BI81" s="36"/>
      <c r="BJ81" s="36"/>
      <c r="BK81" s="42"/>
    </row>
    <row r="82" ht="21.0" customHeight="1">
      <c r="A82" s="17"/>
      <c r="B82" s="44"/>
      <c r="C82" s="44"/>
      <c r="D82" s="98"/>
      <c r="E82" s="48"/>
      <c r="F82" s="44"/>
      <c r="G82" s="44"/>
      <c r="H82" s="44"/>
      <c r="I82" s="108"/>
      <c r="J82" s="47"/>
      <c r="K82" s="47"/>
      <c r="L82" s="47"/>
      <c r="M82" s="48"/>
      <c r="N82" s="108"/>
      <c r="O82" s="47"/>
      <c r="P82" s="47"/>
      <c r="Q82" s="47"/>
      <c r="R82" s="48"/>
      <c r="S82" s="231"/>
      <c r="T82" s="47"/>
      <c r="U82" s="47"/>
      <c r="V82" s="47"/>
      <c r="W82" s="48"/>
      <c r="X82" s="108"/>
      <c r="Y82" s="47"/>
      <c r="Z82" s="47"/>
      <c r="AA82" s="47"/>
      <c r="AB82" s="48"/>
      <c r="AC82" s="108"/>
      <c r="AD82" s="47"/>
      <c r="AE82" s="47"/>
      <c r="AF82" s="47"/>
      <c r="AG82" s="48"/>
      <c r="AH82" s="108"/>
      <c r="AI82" s="47"/>
      <c r="AJ82" s="47"/>
      <c r="AK82" s="47"/>
      <c r="AL82" s="48"/>
      <c r="AM82" s="108"/>
      <c r="AN82" s="47"/>
      <c r="AO82" s="47"/>
      <c r="AP82" s="47"/>
      <c r="AQ82" s="48"/>
      <c r="AR82" s="108"/>
      <c r="AS82" s="47"/>
      <c r="AT82" s="47"/>
      <c r="AU82" s="47"/>
      <c r="AV82" s="48"/>
      <c r="AW82" s="107" t="s">
        <v>117</v>
      </c>
      <c r="AX82" s="47"/>
      <c r="AY82" s="47"/>
      <c r="AZ82" s="47"/>
      <c r="BA82" s="47"/>
      <c r="BB82" s="232">
        <f>SUM(R82:V93)</f>
        <v>0</v>
      </c>
      <c r="BC82" s="233"/>
      <c r="BD82" s="233"/>
      <c r="BE82" s="233"/>
      <c r="BF82" s="234"/>
      <c r="BG82" s="235" t="s">
        <v>22</v>
      </c>
      <c r="BH82" s="233"/>
      <c r="BI82" s="233"/>
      <c r="BJ82" s="233"/>
      <c r="BK82" s="236"/>
    </row>
    <row r="83" ht="21.0" customHeight="1">
      <c r="A83" s="17"/>
      <c r="B83" s="44"/>
      <c r="C83" s="44"/>
      <c r="D83" s="98"/>
      <c r="E83" s="48"/>
      <c r="F83" s="44"/>
      <c r="G83" s="44"/>
      <c r="H83" s="44"/>
      <c r="I83" s="108"/>
      <c r="J83" s="47"/>
      <c r="K83" s="47"/>
      <c r="L83" s="47"/>
      <c r="M83" s="48"/>
      <c r="N83" s="108"/>
      <c r="O83" s="47"/>
      <c r="P83" s="47"/>
      <c r="Q83" s="47"/>
      <c r="R83" s="48"/>
      <c r="S83" s="178"/>
      <c r="T83" s="47"/>
      <c r="U83" s="47"/>
      <c r="V83" s="47"/>
      <c r="W83" s="48"/>
      <c r="X83" s="108"/>
      <c r="Y83" s="47"/>
      <c r="Z83" s="47"/>
      <c r="AA83" s="47"/>
      <c r="AB83" s="48"/>
      <c r="AC83" s="59"/>
      <c r="AD83" s="47"/>
      <c r="AE83" s="47"/>
      <c r="AF83" s="47"/>
      <c r="AG83" s="48"/>
      <c r="AH83" s="108"/>
      <c r="AI83" s="47"/>
      <c r="AJ83" s="47"/>
      <c r="AK83" s="47"/>
      <c r="AL83" s="48"/>
      <c r="AM83" s="59"/>
      <c r="AN83" s="47"/>
      <c r="AO83" s="47"/>
      <c r="AP83" s="47"/>
      <c r="AQ83" s="48"/>
      <c r="AR83" s="59"/>
      <c r="AS83" s="47"/>
      <c r="AT83" s="47"/>
      <c r="AU83" s="47"/>
      <c r="AV83" s="48"/>
      <c r="AW83" s="107"/>
      <c r="AX83" s="47"/>
      <c r="AY83" s="47"/>
      <c r="AZ83" s="47"/>
      <c r="BA83" s="47"/>
      <c r="BB83" s="237">
        <f>SUM(AB82:AF93)</f>
        <v>0</v>
      </c>
      <c r="BC83" s="47"/>
      <c r="BD83" s="47"/>
      <c r="BE83" s="47"/>
      <c r="BF83" s="48"/>
      <c r="BG83" s="238" t="s">
        <v>3</v>
      </c>
      <c r="BH83" s="47"/>
      <c r="BI83" s="47"/>
      <c r="BJ83" s="47"/>
      <c r="BK83" s="56"/>
    </row>
    <row r="84" ht="21.0" customHeight="1">
      <c r="A84" s="17"/>
      <c r="B84" s="44"/>
      <c r="C84" s="44"/>
      <c r="D84" s="98"/>
      <c r="E84" s="48"/>
      <c r="F84" s="44"/>
      <c r="G84" s="44"/>
      <c r="H84" s="44"/>
      <c r="I84" s="148"/>
      <c r="J84" s="47"/>
      <c r="K84" s="47"/>
      <c r="L84" s="47"/>
      <c r="M84" s="48"/>
      <c r="N84" s="108"/>
      <c r="O84" s="47"/>
      <c r="P84" s="47"/>
      <c r="Q84" s="47"/>
      <c r="R84" s="48"/>
      <c r="S84" s="231"/>
      <c r="T84" s="47"/>
      <c r="U84" s="47"/>
      <c r="V84" s="47"/>
      <c r="W84" s="48"/>
      <c r="X84" s="148"/>
      <c r="Y84" s="47"/>
      <c r="Z84" s="47"/>
      <c r="AA84" s="47"/>
      <c r="AB84" s="48"/>
      <c r="AC84" s="148"/>
      <c r="AD84" s="47"/>
      <c r="AE84" s="47"/>
      <c r="AF84" s="47"/>
      <c r="AG84" s="48"/>
      <c r="AH84" s="108"/>
      <c r="AI84" s="47"/>
      <c r="AJ84" s="47"/>
      <c r="AK84" s="47"/>
      <c r="AL84" s="48"/>
      <c r="AM84" s="108"/>
      <c r="AN84" s="47"/>
      <c r="AO84" s="47"/>
      <c r="AP84" s="47"/>
      <c r="AQ84" s="48"/>
      <c r="AR84" s="148"/>
      <c r="AS84" s="47"/>
      <c r="AT84" s="47"/>
      <c r="AU84" s="47"/>
      <c r="AV84" s="48"/>
      <c r="AW84" s="107"/>
      <c r="AX84" s="47"/>
      <c r="AY84" s="47"/>
      <c r="AZ84" s="47"/>
      <c r="BA84" s="47"/>
      <c r="BB84" s="237">
        <f>SUM(AL82:AP94)</f>
        <v>0</v>
      </c>
      <c r="BC84" s="47"/>
      <c r="BD84" s="47"/>
      <c r="BE84" s="47"/>
      <c r="BF84" s="48"/>
      <c r="BG84" s="238" t="s">
        <v>4</v>
      </c>
      <c r="BH84" s="47"/>
      <c r="BI84" s="47"/>
      <c r="BJ84" s="47"/>
      <c r="BK84" s="56"/>
    </row>
    <row r="85" ht="21.0" customHeight="1">
      <c r="A85" s="17"/>
      <c r="B85" s="44"/>
      <c r="C85" s="44"/>
      <c r="D85" s="98"/>
      <c r="E85" s="48"/>
      <c r="F85" s="44"/>
      <c r="G85" s="44"/>
      <c r="H85" s="44"/>
      <c r="I85" s="148"/>
      <c r="J85" s="47"/>
      <c r="K85" s="47"/>
      <c r="L85" s="47"/>
      <c r="M85" s="48"/>
      <c r="N85" s="148"/>
      <c r="O85" s="47"/>
      <c r="P85" s="47"/>
      <c r="Q85" s="47"/>
      <c r="R85" s="48"/>
      <c r="S85" s="178"/>
      <c r="T85" s="47"/>
      <c r="U85" s="47"/>
      <c r="V85" s="47"/>
      <c r="W85" s="48"/>
      <c r="X85" s="108"/>
      <c r="Y85" s="47"/>
      <c r="Z85" s="47"/>
      <c r="AA85" s="47"/>
      <c r="AB85" s="48"/>
      <c r="AC85" s="108"/>
      <c r="AD85" s="47"/>
      <c r="AE85" s="47"/>
      <c r="AF85" s="47"/>
      <c r="AG85" s="48"/>
      <c r="AH85" s="148"/>
      <c r="AI85" s="47"/>
      <c r="AJ85" s="47"/>
      <c r="AK85" s="47"/>
      <c r="AL85" s="48"/>
      <c r="AM85" s="148"/>
      <c r="AN85" s="47"/>
      <c r="AO85" s="47"/>
      <c r="AP85" s="47"/>
      <c r="AQ85" s="48"/>
      <c r="AR85" s="108"/>
      <c r="AS85" s="47"/>
      <c r="AT85" s="47"/>
      <c r="AU85" s="47"/>
      <c r="AV85" s="48"/>
      <c r="AW85" s="107"/>
      <c r="AX85" s="47"/>
      <c r="AY85" s="47"/>
      <c r="AZ85" s="47"/>
      <c r="BA85" s="47"/>
      <c r="BB85" s="237">
        <f>SUM(AV82:AZ94)</f>
        <v>0</v>
      </c>
      <c r="BC85" s="47"/>
      <c r="BD85" s="47"/>
      <c r="BE85" s="47"/>
      <c r="BF85" s="48"/>
      <c r="BG85" s="238" t="s">
        <v>5</v>
      </c>
      <c r="BH85" s="47"/>
      <c r="BI85" s="47"/>
      <c r="BJ85" s="47"/>
      <c r="BK85" s="56"/>
    </row>
    <row r="86" ht="21.0" customHeight="1">
      <c r="A86" s="17"/>
      <c r="B86" s="44"/>
      <c r="C86" s="44"/>
      <c r="D86" s="98"/>
      <c r="E86" s="48"/>
      <c r="F86" s="44"/>
      <c r="G86" s="44"/>
      <c r="H86" s="44"/>
      <c r="I86" s="108"/>
      <c r="J86" s="47"/>
      <c r="K86" s="47"/>
      <c r="L86" s="47"/>
      <c r="M86" s="48"/>
      <c r="N86" s="108"/>
      <c r="O86" s="47"/>
      <c r="P86" s="47"/>
      <c r="Q86" s="47"/>
      <c r="R86" s="48"/>
      <c r="S86" s="231"/>
      <c r="T86" s="47"/>
      <c r="U86" s="47"/>
      <c r="V86" s="47"/>
      <c r="W86" s="48"/>
      <c r="X86" s="108"/>
      <c r="Y86" s="47"/>
      <c r="Z86" s="47"/>
      <c r="AA86" s="47"/>
      <c r="AB86" s="48"/>
      <c r="AC86" s="108"/>
      <c r="AD86" s="47"/>
      <c r="AE86" s="47"/>
      <c r="AF86" s="47"/>
      <c r="AG86" s="48"/>
      <c r="AH86" s="108"/>
      <c r="AI86" s="47"/>
      <c r="AJ86" s="47"/>
      <c r="AK86" s="47"/>
      <c r="AL86" s="48"/>
      <c r="AM86" s="108"/>
      <c r="AN86" s="47"/>
      <c r="AO86" s="47"/>
      <c r="AP86" s="47"/>
      <c r="AQ86" s="48"/>
      <c r="AR86" s="108"/>
      <c r="AS86" s="47"/>
      <c r="AT86" s="47"/>
      <c r="AU86" s="47"/>
      <c r="AV86" s="48"/>
      <c r="AW86" s="107"/>
      <c r="AX86" s="47"/>
      <c r="AY86" s="47"/>
      <c r="AZ86" s="47"/>
      <c r="BA86" s="47"/>
      <c r="BB86" s="108"/>
      <c r="BC86" s="47"/>
      <c r="BD86" s="47"/>
      <c r="BE86" s="47"/>
      <c r="BF86" s="48"/>
      <c r="BG86" s="108"/>
      <c r="BH86" s="47"/>
      <c r="BI86" s="47"/>
      <c r="BJ86" s="47"/>
      <c r="BK86" s="56"/>
    </row>
    <row r="87" ht="21.0" customHeight="1">
      <c r="A87" s="17"/>
      <c r="B87" s="44"/>
      <c r="C87" s="44"/>
      <c r="D87" s="98"/>
      <c r="E87" s="48"/>
      <c r="F87" s="44"/>
      <c r="G87" s="44"/>
      <c r="H87" s="44"/>
      <c r="I87" s="148"/>
      <c r="J87" s="47"/>
      <c r="K87" s="47"/>
      <c r="L87" s="47"/>
      <c r="M87" s="48"/>
      <c r="N87" s="148"/>
      <c r="O87" s="47"/>
      <c r="P87" s="47"/>
      <c r="Q87" s="47"/>
      <c r="R87" s="48"/>
      <c r="S87" s="178"/>
      <c r="T87" s="47"/>
      <c r="U87" s="47"/>
      <c r="V87" s="47"/>
      <c r="W87" s="48"/>
      <c r="X87" s="148"/>
      <c r="Y87" s="47"/>
      <c r="Z87" s="47"/>
      <c r="AA87" s="47"/>
      <c r="AB87" s="48"/>
      <c r="AC87" s="148"/>
      <c r="AD87" s="47"/>
      <c r="AE87" s="47"/>
      <c r="AF87" s="47"/>
      <c r="AG87" s="48"/>
      <c r="AH87" s="148"/>
      <c r="AI87" s="47"/>
      <c r="AJ87" s="47"/>
      <c r="AK87" s="47"/>
      <c r="AL87" s="48"/>
      <c r="AM87" s="148"/>
      <c r="AN87" s="47"/>
      <c r="AO87" s="47"/>
      <c r="AP87" s="47"/>
      <c r="AQ87" s="48"/>
      <c r="AR87" s="148"/>
      <c r="AS87" s="47"/>
      <c r="AT87" s="47"/>
      <c r="AU87" s="47"/>
      <c r="AV87" s="48"/>
      <c r="AW87" s="109"/>
      <c r="AX87" s="110"/>
      <c r="AY87" s="110"/>
      <c r="AZ87" s="110"/>
      <c r="BA87" s="111"/>
      <c r="BB87" s="112"/>
      <c r="BC87" s="110"/>
      <c r="BD87" s="110"/>
      <c r="BE87" s="110"/>
      <c r="BF87" s="111"/>
      <c r="BG87" s="112"/>
      <c r="BH87" s="110"/>
      <c r="BI87" s="110"/>
      <c r="BJ87" s="110"/>
      <c r="BK87" s="113"/>
    </row>
    <row r="88" ht="21.0" customHeight="1">
      <c r="A88" s="17"/>
      <c r="B88" s="44"/>
      <c r="C88" s="44"/>
      <c r="D88" s="98"/>
      <c r="E88" s="48"/>
      <c r="F88" s="44"/>
      <c r="G88" s="44"/>
      <c r="H88" s="44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</row>
    <row r="89" ht="21.0" customHeight="1">
      <c r="A89" s="17"/>
      <c r="B89" s="17"/>
      <c r="C89" s="17"/>
      <c r="D89" s="17"/>
      <c r="E89" s="17"/>
      <c r="F89" s="17"/>
      <c r="G89" s="17"/>
      <c r="H89" s="114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</row>
    <row r="90" ht="21.0" customHeight="1">
      <c r="A90" s="17"/>
      <c r="B90" s="17"/>
      <c r="C90" s="17"/>
      <c r="D90" s="17"/>
      <c r="E90" s="17"/>
      <c r="F90" s="17"/>
      <c r="G90" s="17"/>
      <c r="H90" s="114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</row>
    <row r="91" ht="21.0" customHeight="1">
      <c r="A91" s="17"/>
      <c r="B91" s="17"/>
      <c r="C91" s="17"/>
      <c r="D91" s="17"/>
      <c r="E91" s="17"/>
      <c r="F91" s="17"/>
      <c r="G91" s="17"/>
      <c r="H91" s="114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</row>
  </sheetData>
  <mergeCells count="931">
    <mergeCell ref="AR64:AV64"/>
    <mergeCell ref="AW64:BA64"/>
    <mergeCell ref="BB64:BF64"/>
    <mergeCell ref="BG64:BK64"/>
    <mergeCell ref="I64:M64"/>
    <mergeCell ref="N64:R64"/>
    <mergeCell ref="S64:W64"/>
    <mergeCell ref="X64:AB64"/>
    <mergeCell ref="AC64:AG64"/>
    <mergeCell ref="AH64:AL64"/>
    <mergeCell ref="AM64:AQ64"/>
    <mergeCell ref="AR65:AV65"/>
    <mergeCell ref="AW65:BA65"/>
    <mergeCell ref="BB65:BF65"/>
    <mergeCell ref="BG65:BK65"/>
    <mergeCell ref="I65:M65"/>
    <mergeCell ref="N65:R65"/>
    <mergeCell ref="S65:W65"/>
    <mergeCell ref="X65:AB65"/>
    <mergeCell ref="AC65:AG65"/>
    <mergeCell ref="AH65:AL65"/>
    <mergeCell ref="AM65:AQ65"/>
    <mergeCell ref="AR66:AV66"/>
    <mergeCell ref="AW66:BA66"/>
    <mergeCell ref="BB66:BF66"/>
    <mergeCell ref="BG66:BK66"/>
    <mergeCell ref="I66:M66"/>
    <mergeCell ref="N66:R66"/>
    <mergeCell ref="S66:W66"/>
    <mergeCell ref="X66:AB66"/>
    <mergeCell ref="AC66:AG66"/>
    <mergeCell ref="AH66:AL66"/>
    <mergeCell ref="AM66:AQ66"/>
    <mergeCell ref="AR67:AV67"/>
    <mergeCell ref="AW67:BA67"/>
    <mergeCell ref="BB67:BF67"/>
    <mergeCell ref="BG67:BK67"/>
    <mergeCell ref="I67:M67"/>
    <mergeCell ref="N67:R67"/>
    <mergeCell ref="S67:W67"/>
    <mergeCell ref="X67:AB67"/>
    <mergeCell ref="AC67:AG67"/>
    <mergeCell ref="AH67:AL67"/>
    <mergeCell ref="AM67:AQ67"/>
    <mergeCell ref="AR68:AV68"/>
    <mergeCell ref="AW68:BA68"/>
    <mergeCell ref="BB68:BF68"/>
    <mergeCell ref="BG68:BK68"/>
    <mergeCell ref="I68:M68"/>
    <mergeCell ref="N68:R68"/>
    <mergeCell ref="S68:W68"/>
    <mergeCell ref="X68:AB68"/>
    <mergeCell ref="AC68:AG68"/>
    <mergeCell ref="AH68:AL68"/>
    <mergeCell ref="AM68:AQ68"/>
    <mergeCell ref="AR69:AV69"/>
    <mergeCell ref="AW69:BA69"/>
    <mergeCell ref="BB69:BF69"/>
    <mergeCell ref="BG69:BK69"/>
    <mergeCell ref="I69:M69"/>
    <mergeCell ref="N69:R69"/>
    <mergeCell ref="S69:W69"/>
    <mergeCell ref="X69:AB69"/>
    <mergeCell ref="AC69:AG69"/>
    <mergeCell ref="AH69:AL69"/>
    <mergeCell ref="AM69:AQ69"/>
    <mergeCell ref="AR70:AV70"/>
    <mergeCell ref="AW70:BA70"/>
    <mergeCell ref="BB70:BF70"/>
    <mergeCell ref="BG70:BK70"/>
    <mergeCell ref="I70:M70"/>
    <mergeCell ref="N70:R70"/>
    <mergeCell ref="S70:W70"/>
    <mergeCell ref="X70:AB70"/>
    <mergeCell ref="AC70:AG70"/>
    <mergeCell ref="AH70:AL70"/>
    <mergeCell ref="AM70:AQ70"/>
    <mergeCell ref="AR78:AV78"/>
    <mergeCell ref="AW78:BA78"/>
    <mergeCell ref="BB78:BF78"/>
    <mergeCell ref="BG78:BK78"/>
    <mergeCell ref="I78:M78"/>
    <mergeCell ref="N78:R78"/>
    <mergeCell ref="S78:W78"/>
    <mergeCell ref="X78:AB78"/>
    <mergeCell ref="AC78:AG78"/>
    <mergeCell ref="AH78:AL78"/>
    <mergeCell ref="AM78:AQ78"/>
    <mergeCell ref="AR79:AV79"/>
    <mergeCell ref="AW79:BA79"/>
    <mergeCell ref="BB79:BF79"/>
    <mergeCell ref="BG79:BK79"/>
    <mergeCell ref="I79:M79"/>
    <mergeCell ref="N79:R79"/>
    <mergeCell ref="S79:W79"/>
    <mergeCell ref="X79:AB79"/>
    <mergeCell ref="AC79:AG79"/>
    <mergeCell ref="AH79:AL79"/>
    <mergeCell ref="AM79:AQ79"/>
    <mergeCell ref="AR80:AV80"/>
    <mergeCell ref="AW80:BA80"/>
    <mergeCell ref="BB80:BF80"/>
    <mergeCell ref="BG80:BK80"/>
    <mergeCell ref="I80:M80"/>
    <mergeCell ref="N80:R80"/>
    <mergeCell ref="S80:W80"/>
    <mergeCell ref="X80:AB80"/>
    <mergeCell ref="AC80:AG80"/>
    <mergeCell ref="AH80:AL80"/>
    <mergeCell ref="AM80:AQ80"/>
    <mergeCell ref="AR38:AV38"/>
    <mergeCell ref="AW38:BA38"/>
    <mergeCell ref="BB38:BF38"/>
    <mergeCell ref="BG38:BK38"/>
    <mergeCell ref="I38:M38"/>
    <mergeCell ref="N38:R38"/>
    <mergeCell ref="S38:W38"/>
    <mergeCell ref="X38:AB38"/>
    <mergeCell ref="AC38:AG38"/>
    <mergeCell ref="AH38:AL38"/>
    <mergeCell ref="AM38:AQ38"/>
    <mergeCell ref="AM40:AQ40"/>
    <mergeCell ref="AR40:AV40"/>
    <mergeCell ref="AW40:BA40"/>
    <mergeCell ref="BB40:BF40"/>
    <mergeCell ref="BG40:BK40"/>
    <mergeCell ref="D40:E40"/>
    <mergeCell ref="I40:M40"/>
    <mergeCell ref="N40:R40"/>
    <mergeCell ref="S40:W40"/>
    <mergeCell ref="X40:AB40"/>
    <mergeCell ref="AC40:AG40"/>
    <mergeCell ref="AH40:AL40"/>
    <mergeCell ref="AR41:AV41"/>
    <mergeCell ref="AW41:BA41"/>
    <mergeCell ref="BB41:BF41"/>
    <mergeCell ref="BG41:BK41"/>
    <mergeCell ref="I41:M41"/>
    <mergeCell ref="N41:R41"/>
    <mergeCell ref="S41:W41"/>
    <mergeCell ref="X41:AB41"/>
    <mergeCell ref="AC41:AG41"/>
    <mergeCell ref="AH41:AL41"/>
    <mergeCell ref="AM41:AQ41"/>
    <mergeCell ref="AR81:AV81"/>
    <mergeCell ref="AW81:BA81"/>
    <mergeCell ref="BB81:BF81"/>
    <mergeCell ref="BG81:BK81"/>
    <mergeCell ref="AW85:BA85"/>
    <mergeCell ref="BB85:BF85"/>
    <mergeCell ref="N85:R85"/>
    <mergeCell ref="S85:W85"/>
    <mergeCell ref="X85:AB85"/>
    <mergeCell ref="AC85:AG85"/>
    <mergeCell ref="AH85:AL85"/>
    <mergeCell ref="AM85:AQ85"/>
    <mergeCell ref="AR85:AV85"/>
    <mergeCell ref="AM86:AQ86"/>
    <mergeCell ref="AR86:AV86"/>
    <mergeCell ref="D85:E85"/>
    <mergeCell ref="D86:E86"/>
    <mergeCell ref="N86:R86"/>
    <mergeCell ref="S86:W86"/>
    <mergeCell ref="X86:AB86"/>
    <mergeCell ref="AC86:AG86"/>
    <mergeCell ref="AH86:AL86"/>
    <mergeCell ref="AM87:AQ87"/>
    <mergeCell ref="AR87:AV87"/>
    <mergeCell ref="AW87:BA87"/>
    <mergeCell ref="BB87:BF87"/>
    <mergeCell ref="BG87:BK87"/>
    <mergeCell ref="D87:E87"/>
    <mergeCell ref="I87:M87"/>
    <mergeCell ref="N87:R87"/>
    <mergeCell ref="S87:W87"/>
    <mergeCell ref="X87:AB87"/>
    <mergeCell ref="AC87:AG87"/>
    <mergeCell ref="AH87:AL87"/>
    <mergeCell ref="D88:E88"/>
    <mergeCell ref="AH82:AL82"/>
    <mergeCell ref="AM82:AQ82"/>
    <mergeCell ref="AR82:AV82"/>
    <mergeCell ref="AW82:BA82"/>
    <mergeCell ref="BB82:BF82"/>
    <mergeCell ref="BG82:BK82"/>
    <mergeCell ref="N81:R81"/>
    <mergeCell ref="S81:W81"/>
    <mergeCell ref="X81:AB81"/>
    <mergeCell ref="AC81:AG81"/>
    <mergeCell ref="AH81:AL81"/>
    <mergeCell ref="AM81:AQ81"/>
    <mergeCell ref="D82:E82"/>
    <mergeCell ref="AW83:BA83"/>
    <mergeCell ref="BB83:BF83"/>
    <mergeCell ref="BG83:BK83"/>
    <mergeCell ref="BG85:BK85"/>
    <mergeCell ref="AW86:BA86"/>
    <mergeCell ref="BB86:BF86"/>
    <mergeCell ref="BG86:BK86"/>
    <mergeCell ref="X82:AB82"/>
    <mergeCell ref="AC82:AG82"/>
    <mergeCell ref="X83:AB83"/>
    <mergeCell ref="AC83:AG83"/>
    <mergeCell ref="AH83:AL83"/>
    <mergeCell ref="AM83:AQ83"/>
    <mergeCell ref="AR83:AV83"/>
    <mergeCell ref="AC84:AG84"/>
    <mergeCell ref="AH84:AL84"/>
    <mergeCell ref="AM84:AQ84"/>
    <mergeCell ref="AR84:AV84"/>
    <mergeCell ref="AW84:BA84"/>
    <mergeCell ref="BB84:BF84"/>
    <mergeCell ref="BG84:BK84"/>
    <mergeCell ref="N82:R82"/>
    <mergeCell ref="S82:W82"/>
    <mergeCell ref="N83:R83"/>
    <mergeCell ref="S83:W83"/>
    <mergeCell ref="N84:R84"/>
    <mergeCell ref="S84:W84"/>
    <mergeCell ref="X84:AB84"/>
    <mergeCell ref="I81:M81"/>
    <mergeCell ref="I82:M82"/>
    <mergeCell ref="D83:E83"/>
    <mergeCell ref="I83:M83"/>
    <mergeCell ref="D84:E84"/>
    <mergeCell ref="I84:M84"/>
    <mergeCell ref="I85:M85"/>
    <mergeCell ref="I86:M86"/>
    <mergeCell ref="AR71:AV71"/>
    <mergeCell ref="AW71:BA71"/>
    <mergeCell ref="BB71:BF71"/>
    <mergeCell ref="BG71:BK71"/>
    <mergeCell ref="I71:M71"/>
    <mergeCell ref="N71:R71"/>
    <mergeCell ref="S71:W71"/>
    <mergeCell ref="X71:AB71"/>
    <mergeCell ref="AC71:AG71"/>
    <mergeCell ref="AH71:AL71"/>
    <mergeCell ref="AM71:AQ71"/>
    <mergeCell ref="AR72:AV72"/>
    <mergeCell ref="AW72:BA72"/>
    <mergeCell ref="BB72:BF72"/>
    <mergeCell ref="BG72:BK72"/>
    <mergeCell ref="I72:M72"/>
    <mergeCell ref="N72:R72"/>
    <mergeCell ref="S72:W72"/>
    <mergeCell ref="X72:AB72"/>
    <mergeCell ref="AC72:AG72"/>
    <mergeCell ref="AH72:AL72"/>
    <mergeCell ref="AM72:AQ72"/>
    <mergeCell ref="AR73:AV73"/>
    <mergeCell ref="AW73:BA73"/>
    <mergeCell ref="BB73:BF73"/>
    <mergeCell ref="BG73:BK73"/>
    <mergeCell ref="I73:M73"/>
    <mergeCell ref="N73:R73"/>
    <mergeCell ref="S73:W73"/>
    <mergeCell ref="X73:AB73"/>
    <mergeCell ref="AC73:AG73"/>
    <mergeCell ref="AH73:AL73"/>
    <mergeCell ref="AM73:AQ73"/>
    <mergeCell ref="AR74:AV74"/>
    <mergeCell ref="AW74:BA74"/>
    <mergeCell ref="BB74:BF74"/>
    <mergeCell ref="BG74:BK74"/>
    <mergeCell ref="I74:M74"/>
    <mergeCell ref="N74:R74"/>
    <mergeCell ref="S74:W74"/>
    <mergeCell ref="X74:AB74"/>
    <mergeCell ref="AC74:AG74"/>
    <mergeCell ref="AH74:AL74"/>
    <mergeCell ref="AM74:AQ74"/>
    <mergeCell ref="AR75:AV75"/>
    <mergeCell ref="AW75:BA75"/>
    <mergeCell ref="BB75:BF75"/>
    <mergeCell ref="BG75:BK75"/>
    <mergeCell ref="I75:M75"/>
    <mergeCell ref="N75:R75"/>
    <mergeCell ref="S75:W75"/>
    <mergeCell ref="X75:AB75"/>
    <mergeCell ref="AC75:AG75"/>
    <mergeCell ref="AH75:AL75"/>
    <mergeCell ref="AM75:AQ75"/>
    <mergeCell ref="AR76:AV76"/>
    <mergeCell ref="AW76:BA76"/>
    <mergeCell ref="BB76:BF76"/>
    <mergeCell ref="BG76:BK76"/>
    <mergeCell ref="I76:M76"/>
    <mergeCell ref="N76:R76"/>
    <mergeCell ref="S76:W76"/>
    <mergeCell ref="X76:AB76"/>
    <mergeCell ref="AC76:AG76"/>
    <mergeCell ref="AH76:AL76"/>
    <mergeCell ref="AM76:AQ76"/>
    <mergeCell ref="AR77:AV77"/>
    <mergeCell ref="AW77:BA77"/>
    <mergeCell ref="BB77:BF77"/>
    <mergeCell ref="BG77:BK77"/>
    <mergeCell ref="I77:M77"/>
    <mergeCell ref="N77:R77"/>
    <mergeCell ref="S77:W77"/>
    <mergeCell ref="X77:AB77"/>
    <mergeCell ref="AC77:AG77"/>
    <mergeCell ref="AH77:AL77"/>
    <mergeCell ref="AM77:AQ77"/>
    <mergeCell ref="AM4:AV4"/>
    <mergeCell ref="AW4:BK4"/>
    <mergeCell ref="AC5:AG5"/>
    <mergeCell ref="AH5:AL5"/>
    <mergeCell ref="AM5:AQ5"/>
    <mergeCell ref="AR5:AV5"/>
    <mergeCell ref="AW5:BA5"/>
    <mergeCell ref="BB5:BF5"/>
    <mergeCell ref="BG5:BK5"/>
    <mergeCell ref="I2:N2"/>
    <mergeCell ref="O2:W2"/>
    <mergeCell ref="B4:C5"/>
    <mergeCell ref="E4:H5"/>
    <mergeCell ref="I4:R4"/>
    <mergeCell ref="S4:AB4"/>
    <mergeCell ref="AC4:AL4"/>
    <mergeCell ref="AR6:AV6"/>
    <mergeCell ref="AW6:BA6"/>
    <mergeCell ref="BB6:BF6"/>
    <mergeCell ref="BG6:BK6"/>
    <mergeCell ref="S5:W5"/>
    <mergeCell ref="X5:AB5"/>
    <mergeCell ref="S6:W6"/>
    <mergeCell ref="X6:AB6"/>
    <mergeCell ref="AC6:AG6"/>
    <mergeCell ref="AH6:AL6"/>
    <mergeCell ref="AM6:AQ6"/>
    <mergeCell ref="BB7:BF7"/>
    <mergeCell ref="BG7:BK7"/>
    <mergeCell ref="S7:W7"/>
    <mergeCell ref="X7:AB7"/>
    <mergeCell ref="AC7:AG7"/>
    <mergeCell ref="AH7:AL7"/>
    <mergeCell ref="AM7:AQ7"/>
    <mergeCell ref="AR7:AV7"/>
    <mergeCell ref="AW7:BA7"/>
    <mergeCell ref="AR8:AV8"/>
    <mergeCell ref="AW8:BA8"/>
    <mergeCell ref="BB8:BF8"/>
    <mergeCell ref="BG8:BK8"/>
    <mergeCell ref="I8:M8"/>
    <mergeCell ref="N8:R8"/>
    <mergeCell ref="S8:W8"/>
    <mergeCell ref="X8:AB8"/>
    <mergeCell ref="AC8:AG8"/>
    <mergeCell ref="AH8:AL8"/>
    <mergeCell ref="AM8:AQ8"/>
    <mergeCell ref="I5:M5"/>
    <mergeCell ref="N5:R5"/>
    <mergeCell ref="D6:E6"/>
    <mergeCell ref="I6:M6"/>
    <mergeCell ref="N6:R6"/>
    <mergeCell ref="I7:M7"/>
    <mergeCell ref="N7:R7"/>
    <mergeCell ref="AR9:AV9"/>
    <mergeCell ref="AW9:BA9"/>
    <mergeCell ref="BB9:BF9"/>
    <mergeCell ref="BG9:BK9"/>
    <mergeCell ref="I9:M9"/>
    <mergeCell ref="N9:R9"/>
    <mergeCell ref="S9:W9"/>
    <mergeCell ref="X9:AB9"/>
    <mergeCell ref="AC9:AG9"/>
    <mergeCell ref="AH9:AL9"/>
    <mergeCell ref="AM9:AQ9"/>
    <mergeCell ref="AR10:AV10"/>
    <mergeCell ref="AW10:BA10"/>
    <mergeCell ref="BB10:BF10"/>
    <mergeCell ref="BG10:BK10"/>
    <mergeCell ref="I10:M10"/>
    <mergeCell ref="N10:R10"/>
    <mergeCell ref="S10:W10"/>
    <mergeCell ref="X10:AB10"/>
    <mergeCell ref="AC10:AG10"/>
    <mergeCell ref="AH10:AL10"/>
    <mergeCell ref="AM10:AQ10"/>
    <mergeCell ref="AR14:AV14"/>
    <mergeCell ref="AW14:BA14"/>
    <mergeCell ref="BB14:BF14"/>
    <mergeCell ref="BG14:BK14"/>
    <mergeCell ref="I14:M14"/>
    <mergeCell ref="N14:R14"/>
    <mergeCell ref="S14:W14"/>
    <mergeCell ref="X14:AB14"/>
    <mergeCell ref="AC14:AG14"/>
    <mergeCell ref="AH14:AL14"/>
    <mergeCell ref="AM14:AQ14"/>
    <mergeCell ref="AR15:AV15"/>
    <mergeCell ref="AW15:BA15"/>
    <mergeCell ref="BB15:BF15"/>
    <mergeCell ref="BG15:BK15"/>
    <mergeCell ref="I15:M15"/>
    <mergeCell ref="N15:R15"/>
    <mergeCell ref="S15:W15"/>
    <mergeCell ref="X15:AB15"/>
    <mergeCell ref="AC15:AG15"/>
    <mergeCell ref="AH15:AL15"/>
    <mergeCell ref="AM15:AQ15"/>
    <mergeCell ref="AR16:AV16"/>
    <mergeCell ref="AW16:BA16"/>
    <mergeCell ref="BB16:BF16"/>
    <mergeCell ref="BG16:BK16"/>
    <mergeCell ref="I16:M16"/>
    <mergeCell ref="N16:R16"/>
    <mergeCell ref="S16:W16"/>
    <mergeCell ref="X16:AB16"/>
    <mergeCell ref="AC16:AG16"/>
    <mergeCell ref="AH16:AL16"/>
    <mergeCell ref="AM16:AQ16"/>
    <mergeCell ref="AR17:AV17"/>
    <mergeCell ref="AW17:BA17"/>
    <mergeCell ref="BB17:BF17"/>
    <mergeCell ref="BG17:BK17"/>
    <mergeCell ref="I17:M17"/>
    <mergeCell ref="N17:R17"/>
    <mergeCell ref="S17:W17"/>
    <mergeCell ref="X17:AB17"/>
    <mergeCell ref="AC17:AG17"/>
    <mergeCell ref="AH17:AL17"/>
    <mergeCell ref="AM17:AQ17"/>
    <mergeCell ref="AR18:AV18"/>
    <mergeCell ref="AW18:BA18"/>
    <mergeCell ref="BB18:BF18"/>
    <mergeCell ref="BG18:BK18"/>
    <mergeCell ref="I18:M18"/>
    <mergeCell ref="N18:R18"/>
    <mergeCell ref="S18:W18"/>
    <mergeCell ref="X18:AB18"/>
    <mergeCell ref="AC18:AG18"/>
    <mergeCell ref="AH18:AL18"/>
    <mergeCell ref="AM18:AQ18"/>
    <mergeCell ref="AR19:AV19"/>
    <mergeCell ref="AW19:BA19"/>
    <mergeCell ref="BB19:BF19"/>
    <mergeCell ref="BG19:BK19"/>
    <mergeCell ref="I19:M19"/>
    <mergeCell ref="N19:R19"/>
    <mergeCell ref="S19:W19"/>
    <mergeCell ref="X19:AB19"/>
    <mergeCell ref="AC19:AG19"/>
    <mergeCell ref="AH19:AL19"/>
    <mergeCell ref="AM19:AQ19"/>
    <mergeCell ref="AR20:AV20"/>
    <mergeCell ref="AW20:BA20"/>
    <mergeCell ref="BB20:BF20"/>
    <mergeCell ref="BG20:BK20"/>
    <mergeCell ref="I20:M20"/>
    <mergeCell ref="N20:R20"/>
    <mergeCell ref="S20:W20"/>
    <mergeCell ref="X20:AB20"/>
    <mergeCell ref="AC20:AG20"/>
    <mergeCell ref="AH20:AL20"/>
    <mergeCell ref="AM20:AQ20"/>
    <mergeCell ref="AR21:AV21"/>
    <mergeCell ref="AW21:BA21"/>
    <mergeCell ref="BB21:BF21"/>
    <mergeCell ref="BG21:BK21"/>
    <mergeCell ref="I21:M21"/>
    <mergeCell ref="N21:R21"/>
    <mergeCell ref="S21:W21"/>
    <mergeCell ref="X21:AB21"/>
    <mergeCell ref="AC21:AG21"/>
    <mergeCell ref="AH21:AL21"/>
    <mergeCell ref="AM21:AQ21"/>
    <mergeCell ref="AR22:AV22"/>
    <mergeCell ref="AW22:BA22"/>
    <mergeCell ref="BB22:BF22"/>
    <mergeCell ref="BG22:BK22"/>
    <mergeCell ref="I22:M22"/>
    <mergeCell ref="N22:R22"/>
    <mergeCell ref="S22:W22"/>
    <mergeCell ref="X22:AB22"/>
    <mergeCell ref="AC22:AG22"/>
    <mergeCell ref="AH22:AL22"/>
    <mergeCell ref="AM22:AQ22"/>
    <mergeCell ref="AR23:AV23"/>
    <mergeCell ref="AW23:BA23"/>
    <mergeCell ref="BB23:BF23"/>
    <mergeCell ref="BG23:BK23"/>
    <mergeCell ref="I23:M23"/>
    <mergeCell ref="N23:R23"/>
    <mergeCell ref="S23:W23"/>
    <mergeCell ref="X23:AB23"/>
    <mergeCell ref="AC23:AG23"/>
    <mergeCell ref="AH23:AL23"/>
    <mergeCell ref="AM23:AQ23"/>
    <mergeCell ref="AR24:AV24"/>
    <mergeCell ref="AW24:BA24"/>
    <mergeCell ref="BB24:BF24"/>
    <mergeCell ref="BG24:BK24"/>
    <mergeCell ref="I24:M24"/>
    <mergeCell ref="N24:R24"/>
    <mergeCell ref="S24:W24"/>
    <mergeCell ref="X24:AB24"/>
    <mergeCell ref="AC24:AG24"/>
    <mergeCell ref="AH24:AL24"/>
    <mergeCell ref="AM24:AQ24"/>
    <mergeCell ref="AR25:AV25"/>
    <mergeCell ref="AW25:BA25"/>
    <mergeCell ref="BB25:BF25"/>
    <mergeCell ref="BG25:BK25"/>
    <mergeCell ref="I25:M25"/>
    <mergeCell ref="N25:R25"/>
    <mergeCell ref="S25:W25"/>
    <mergeCell ref="X25:AB25"/>
    <mergeCell ref="AC25:AG25"/>
    <mergeCell ref="AH25:AL25"/>
    <mergeCell ref="AM25:AQ25"/>
    <mergeCell ref="AR26:AV26"/>
    <mergeCell ref="AW26:BA26"/>
    <mergeCell ref="BB26:BF26"/>
    <mergeCell ref="BG26:BK26"/>
    <mergeCell ref="I26:M26"/>
    <mergeCell ref="N26:R26"/>
    <mergeCell ref="S26:W26"/>
    <mergeCell ref="X26:AB26"/>
    <mergeCell ref="AC26:AG26"/>
    <mergeCell ref="AH26:AL26"/>
    <mergeCell ref="AM26:AQ26"/>
    <mergeCell ref="AR27:AV27"/>
    <mergeCell ref="AW27:BA27"/>
    <mergeCell ref="BB27:BF27"/>
    <mergeCell ref="BG27:BK27"/>
    <mergeCell ref="I27:M27"/>
    <mergeCell ref="N27:R27"/>
    <mergeCell ref="S27:W27"/>
    <mergeCell ref="X27:AB27"/>
    <mergeCell ref="AC27:AG27"/>
    <mergeCell ref="AH27:AL27"/>
    <mergeCell ref="AM27:AQ27"/>
    <mergeCell ref="AR28:AV28"/>
    <mergeCell ref="AW28:BA28"/>
    <mergeCell ref="BB28:BF28"/>
    <mergeCell ref="BG28:BK28"/>
    <mergeCell ref="I28:M28"/>
    <mergeCell ref="N28:R28"/>
    <mergeCell ref="S28:W28"/>
    <mergeCell ref="X28:AB28"/>
    <mergeCell ref="AC28:AG28"/>
    <mergeCell ref="AH28:AL28"/>
    <mergeCell ref="AM28:AQ28"/>
    <mergeCell ref="AR29:AV29"/>
    <mergeCell ref="AW29:BA29"/>
    <mergeCell ref="BB29:BF29"/>
    <mergeCell ref="BG29:BK29"/>
    <mergeCell ref="I29:M29"/>
    <mergeCell ref="N29:R29"/>
    <mergeCell ref="S29:W29"/>
    <mergeCell ref="X29:AB29"/>
    <mergeCell ref="AC29:AG29"/>
    <mergeCell ref="AH29:AL29"/>
    <mergeCell ref="AM29:AQ29"/>
    <mergeCell ref="AR30:AV30"/>
    <mergeCell ref="AW30:BA30"/>
    <mergeCell ref="BB30:BF30"/>
    <mergeCell ref="BG30:BK30"/>
    <mergeCell ref="I30:M30"/>
    <mergeCell ref="N30:R30"/>
    <mergeCell ref="S30:W30"/>
    <mergeCell ref="X30:AB30"/>
    <mergeCell ref="AC30:AG30"/>
    <mergeCell ref="AH30:AL30"/>
    <mergeCell ref="AM30:AQ30"/>
    <mergeCell ref="AR31:AV31"/>
    <mergeCell ref="AW31:BA31"/>
    <mergeCell ref="BB31:BF31"/>
    <mergeCell ref="BG31:BK31"/>
    <mergeCell ref="I31:M31"/>
    <mergeCell ref="N31:R31"/>
    <mergeCell ref="S31:W31"/>
    <mergeCell ref="X31:AB31"/>
    <mergeCell ref="AC31:AG31"/>
    <mergeCell ref="AH31:AL31"/>
    <mergeCell ref="AM31:AQ31"/>
    <mergeCell ref="AR32:AV32"/>
    <mergeCell ref="AW32:BA32"/>
    <mergeCell ref="BB32:BF32"/>
    <mergeCell ref="BG32:BK32"/>
    <mergeCell ref="I32:M32"/>
    <mergeCell ref="N32:R32"/>
    <mergeCell ref="S32:W32"/>
    <mergeCell ref="X32:AB32"/>
    <mergeCell ref="AC32:AG32"/>
    <mergeCell ref="AH32:AL32"/>
    <mergeCell ref="AM32:AQ32"/>
    <mergeCell ref="AR33:AV33"/>
    <mergeCell ref="AW33:BA33"/>
    <mergeCell ref="BB33:BF33"/>
    <mergeCell ref="BG33:BK33"/>
    <mergeCell ref="I33:M33"/>
    <mergeCell ref="N33:R33"/>
    <mergeCell ref="S33:W33"/>
    <mergeCell ref="X33:AB33"/>
    <mergeCell ref="AC33:AG33"/>
    <mergeCell ref="AH33:AL33"/>
    <mergeCell ref="AM33:AQ33"/>
    <mergeCell ref="AR34:AV34"/>
    <mergeCell ref="AW34:BA34"/>
    <mergeCell ref="BB34:BF34"/>
    <mergeCell ref="BG34:BK34"/>
    <mergeCell ref="I34:M34"/>
    <mergeCell ref="N34:R34"/>
    <mergeCell ref="S34:W34"/>
    <mergeCell ref="X34:AB34"/>
    <mergeCell ref="AC34:AG34"/>
    <mergeCell ref="AH34:AL34"/>
    <mergeCell ref="AM34:AQ34"/>
    <mergeCell ref="AR35:AV35"/>
    <mergeCell ref="AW35:BA35"/>
    <mergeCell ref="BB35:BF35"/>
    <mergeCell ref="BG35:BK35"/>
    <mergeCell ref="I35:M35"/>
    <mergeCell ref="N35:R35"/>
    <mergeCell ref="S35:W35"/>
    <mergeCell ref="X35:AB35"/>
    <mergeCell ref="AC35:AG35"/>
    <mergeCell ref="AH35:AL35"/>
    <mergeCell ref="AM35:AQ35"/>
    <mergeCell ref="AR36:AV36"/>
    <mergeCell ref="AW36:BA36"/>
    <mergeCell ref="BB36:BF36"/>
    <mergeCell ref="BG36:BK36"/>
    <mergeCell ref="I36:M36"/>
    <mergeCell ref="N36:R36"/>
    <mergeCell ref="S36:W36"/>
    <mergeCell ref="X36:AB36"/>
    <mergeCell ref="AC36:AG36"/>
    <mergeCell ref="AH36:AL36"/>
    <mergeCell ref="AM36:AQ36"/>
    <mergeCell ref="AR37:AV37"/>
    <mergeCell ref="AW37:BA37"/>
    <mergeCell ref="BB37:BF37"/>
    <mergeCell ref="BG37:BK37"/>
    <mergeCell ref="I37:M37"/>
    <mergeCell ref="N37:R37"/>
    <mergeCell ref="S37:W37"/>
    <mergeCell ref="X37:AB37"/>
    <mergeCell ref="AC37:AG37"/>
    <mergeCell ref="AH37:AL37"/>
    <mergeCell ref="AM37:AQ37"/>
    <mergeCell ref="AR11:AV11"/>
    <mergeCell ref="AW11:BA11"/>
    <mergeCell ref="BB11:BF11"/>
    <mergeCell ref="BG11:BK11"/>
    <mergeCell ref="I11:M11"/>
    <mergeCell ref="N11:R11"/>
    <mergeCell ref="S11:W11"/>
    <mergeCell ref="X11:AB11"/>
    <mergeCell ref="AC11:AG11"/>
    <mergeCell ref="AH11:AL11"/>
    <mergeCell ref="AM11:AQ11"/>
    <mergeCell ref="AR12:AV12"/>
    <mergeCell ref="AW12:BA12"/>
    <mergeCell ref="BB12:BF12"/>
    <mergeCell ref="BG12:BK12"/>
    <mergeCell ref="I12:M12"/>
    <mergeCell ref="N12:R12"/>
    <mergeCell ref="S12:W12"/>
    <mergeCell ref="X12:AB12"/>
    <mergeCell ref="AC12:AG12"/>
    <mergeCell ref="AH12:AL12"/>
    <mergeCell ref="AM12:AQ12"/>
    <mergeCell ref="AR13:AV13"/>
    <mergeCell ref="AW13:BA13"/>
    <mergeCell ref="BB13:BF13"/>
    <mergeCell ref="BG13:BK13"/>
    <mergeCell ref="I13:M13"/>
    <mergeCell ref="N13:R13"/>
    <mergeCell ref="S13:W13"/>
    <mergeCell ref="X13:AB13"/>
    <mergeCell ref="AC13:AG13"/>
    <mergeCell ref="AH13:AL13"/>
    <mergeCell ref="AM13:AQ13"/>
    <mergeCell ref="AR39:AV39"/>
    <mergeCell ref="AW39:BA39"/>
    <mergeCell ref="BB39:BF39"/>
    <mergeCell ref="BG39:BK39"/>
    <mergeCell ref="I39:M39"/>
    <mergeCell ref="N39:R39"/>
    <mergeCell ref="S39:W39"/>
    <mergeCell ref="X39:AB39"/>
    <mergeCell ref="AC39:AG39"/>
    <mergeCell ref="AH39:AL39"/>
    <mergeCell ref="AM39:AQ39"/>
    <mergeCell ref="AR42:AV42"/>
    <mergeCell ref="AW42:BA42"/>
    <mergeCell ref="BB42:BF42"/>
    <mergeCell ref="BG42:BK42"/>
    <mergeCell ref="I42:M42"/>
    <mergeCell ref="N42:R42"/>
    <mergeCell ref="S42:W42"/>
    <mergeCell ref="X42:AB42"/>
    <mergeCell ref="AC42:AG42"/>
    <mergeCell ref="AH42:AL42"/>
    <mergeCell ref="AM42:AQ42"/>
    <mergeCell ref="AR43:AV43"/>
    <mergeCell ref="AW43:BA43"/>
    <mergeCell ref="BB43:BF43"/>
    <mergeCell ref="BG43:BK43"/>
    <mergeCell ref="I43:M43"/>
    <mergeCell ref="N43:R43"/>
    <mergeCell ref="S43:W43"/>
    <mergeCell ref="X43:AB43"/>
    <mergeCell ref="AC43:AG43"/>
    <mergeCell ref="AH43:AL43"/>
    <mergeCell ref="AM43:AQ43"/>
    <mergeCell ref="AR44:AV44"/>
    <mergeCell ref="AW44:BA44"/>
    <mergeCell ref="BB44:BF44"/>
    <mergeCell ref="BG44:BK44"/>
    <mergeCell ref="I44:M44"/>
    <mergeCell ref="N44:R44"/>
    <mergeCell ref="S44:W44"/>
    <mergeCell ref="X44:AB44"/>
    <mergeCell ref="AC44:AG44"/>
    <mergeCell ref="AH44:AL44"/>
    <mergeCell ref="AM44:AQ44"/>
    <mergeCell ref="AR45:AV45"/>
    <mergeCell ref="AW45:BA45"/>
    <mergeCell ref="BB45:BF45"/>
    <mergeCell ref="BG45:BK45"/>
    <mergeCell ref="I45:M45"/>
    <mergeCell ref="N45:R45"/>
    <mergeCell ref="S45:W45"/>
    <mergeCell ref="X45:AB45"/>
    <mergeCell ref="AC45:AG45"/>
    <mergeCell ref="AH45:AL45"/>
    <mergeCell ref="AM45:AQ45"/>
    <mergeCell ref="AR46:AV46"/>
    <mergeCell ref="AW46:BA46"/>
    <mergeCell ref="BB46:BF46"/>
    <mergeCell ref="BG46:BK46"/>
    <mergeCell ref="I46:M46"/>
    <mergeCell ref="N46:R46"/>
    <mergeCell ref="S46:W46"/>
    <mergeCell ref="X46:AB46"/>
    <mergeCell ref="AC46:AG46"/>
    <mergeCell ref="AH46:AL46"/>
    <mergeCell ref="AM46:AQ46"/>
    <mergeCell ref="AR47:AV47"/>
    <mergeCell ref="AW47:BA47"/>
    <mergeCell ref="BB47:BF47"/>
    <mergeCell ref="BG47:BK47"/>
    <mergeCell ref="I47:M47"/>
    <mergeCell ref="N47:R47"/>
    <mergeCell ref="S47:W47"/>
    <mergeCell ref="X47:AB47"/>
    <mergeCell ref="AC47:AG47"/>
    <mergeCell ref="AH47:AL47"/>
    <mergeCell ref="AM47:AQ47"/>
    <mergeCell ref="AR48:AV48"/>
    <mergeCell ref="AW48:BA48"/>
    <mergeCell ref="BB48:BF48"/>
    <mergeCell ref="BG48:BK48"/>
    <mergeCell ref="I48:M48"/>
    <mergeCell ref="N48:R48"/>
    <mergeCell ref="S48:W48"/>
    <mergeCell ref="X48:AB48"/>
    <mergeCell ref="AC48:AG48"/>
    <mergeCell ref="AH48:AL48"/>
    <mergeCell ref="AM48:AQ48"/>
    <mergeCell ref="AR49:AV49"/>
    <mergeCell ref="AW49:BA49"/>
    <mergeCell ref="BB49:BF49"/>
    <mergeCell ref="BG49:BK49"/>
    <mergeCell ref="I49:M49"/>
    <mergeCell ref="N49:R49"/>
    <mergeCell ref="S49:W49"/>
    <mergeCell ref="X49:AB49"/>
    <mergeCell ref="AC49:AG49"/>
    <mergeCell ref="AH49:AL49"/>
    <mergeCell ref="AM49:AQ49"/>
    <mergeCell ref="AR50:AV50"/>
    <mergeCell ref="AW50:BA50"/>
    <mergeCell ref="BB50:BF50"/>
    <mergeCell ref="BG50:BK50"/>
    <mergeCell ref="I50:M50"/>
    <mergeCell ref="N50:R50"/>
    <mergeCell ref="S50:W50"/>
    <mergeCell ref="X50:AB50"/>
    <mergeCell ref="AC50:AG50"/>
    <mergeCell ref="AH50:AL50"/>
    <mergeCell ref="AM50:AQ50"/>
    <mergeCell ref="AR51:AV51"/>
    <mergeCell ref="AW51:BA51"/>
    <mergeCell ref="BB51:BF51"/>
    <mergeCell ref="BG51:BK51"/>
    <mergeCell ref="I51:M51"/>
    <mergeCell ref="N51:R51"/>
    <mergeCell ref="S51:W51"/>
    <mergeCell ref="X51:AB51"/>
    <mergeCell ref="AC51:AG51"/>
    <mergeCell ref="AH51:AL51"/>
    <mergeCell ref="AM51:AQ51"/>
    <mergeCell ref="AR52:AV52"/>
    <mergeCell ref="AW52:BA52"/>
    <mergeCell ref="BB52:BF52"/>
    <mergeCell ref="BG52:BK52"/>
    <mergeCell ref="I52:M52"/>
    <mergeCell ref="N52:R52"/>
    <mergeCell ref="S52:W52"/>
    <mergeCell ref="X52:AB52"/>
    <mergeCell ref="AC52:AG52"/>
    <mergeCell ref="AH52:AL52"/>
    <mergeCell ref="AM52:AQ52"/>
    <mergeCell ref="AR53:AV53"/>
    <mergeCell ref="AW53:BA53"/>
    <mergeCell ref="BB53:BF53"/>
    <mergeCell ref="BG53:BK53"/>
    <mergeCell ref="I53:M53"/>
    <mergeCell ref="N53:R53"/>
    <mergeCell ref="S53:W53"/>
    <mergeCell ref="X53:AB53"/>
    <mergeCell ref="AC53:AG53"/>
    <mergeCell ref="AH53:AL53"/>
    <mergeCell ref="AM53:AQ53"/>
    <mergeCell ref="AR54:AV54"/>
    <mergeCell ref="AW54:BA54"/>
    <mergeCell ref="BB54:BF54"/>
    <mergeCell ref="BG54:BK54"/>
    <mergeCell ref="I54:M54"/>
    <mergeCell ref="N54:R54"/>
    <mergeCell ref="S54:W54"/>
    <mergeCell ref="X54:AB54"/>
    <mergeCell ref="AC54:AG54"/>
    <mergeCell ref="AH54:AL54"/>
    <mergeCell ref="AM54:AQ54"/>
    <mergeCell ref="AR55:AV55"/>
    <mergeCell ref="AW55:BA55"/>
    <mergeCell ref="BB55:BF55"/>
    <mergeCell ref="BG55:BK55"/>
    <mergeCell ref="I55:M55"/>
    <mergeCell ref="N55:R55"/>
    <mergeCell ref="S55:W55"/>
    <mergeCell ref="X55:AB55"/>
    <mergeCell ref="AC55:AG55"/>
    <mergeCell ref="AH55:AL55"/>
    <mergeCell ref="AM55:AQ55"/>
    <mergeCell ref="AR56:AV56"/>
    <mergeCell ref="AW56:BA56"/>
    <mergeCell ref="BB56:BF56"/>
    <mergeCell ref="BG56:BK56"/>
    <mergeCell ref="I56:M56"/>
    <mergeCell ref="N56:R56"/>
    <mergeCell ref="S56:W56"/>
    <mergeCell ref="X56:AB56"/>
    <mergeCell ref="AC56:AG56"/>
    <mergeCell ref="AH56:AL56"/>
    <mergeCell ref="AM56:AQ56"/>
    <mergeCell ref="AR57:AV57"/>
    <mergeCell ref="AW57:BA57"/>
    <mergeCell ref="BB57:BF57"/>
    <mergeCell ref="BG57:BK57"/>
    <mergeCell ref="I57:M57"/>
    <mergeCell ref="N57:R57"/>
    <mergeCell ref="S57:W57"/>
    <mergeCell ref="X57:AB57"/>
    <mergeCell ref="AC57:AG57"/>
    <mergeCell ref="AH57:AL57"/>
    <mergeCell ref="AM57:AQ57"/>
    <mergeCell ref="AR58:AV58"/>
    <mergeCell ref="AW58:BA58"/>
    <mergeCell ref="BB58:BF58"/>
    <mergeCell ref="BG58:BK58"/>
    <mergeCell ref="I58:M58"/>
    <mergeCell ref="N58:R58"/>
    <mergeCell ref="S58:W58"/>
    <mergeCell ref="X58:AB58"/>
    <mergeCell ref="AC58:AG58"/>
    <mergeCell ref="AH58:AL58"/>
    <mergeCell ref="AM58:AQ58"/>
    <mergeCell ref="AR59:AV59"/>
    <mergeCell ref="AW59:BA59"/>
    <mergeCell ref="BB59:BF59"/>
    <mergeCell ref="BG59:BK59"/>
    <mergeCell ref="I59:M59"/>
    <mergeCell ref="N59:R59"/>
    <mergeCell ref="S59:W59"/>
    <mergeCell ref="X59:AB59"/>
    <mergeCell ref="AC59:AG59"/>
    <mergeCell ref="AH59:AL59"/>
    <mergeCell ref="AM59:AQ59"/>
    <mergeCell ref="AR60:AV60"/>
    <mergeCell ref="AW60:BA60"/>
    <mergeCell ref="BB60:BF60"/>
    <mergeCell ref="BG60:BK60"/>
    <mergeCell ref="I60:M60"/>
    <mergeCell ref="N60:R60"/>
    <mergeCell ref="S60:W60"/>
    <mergeCell ref="X60:AB60"/>
    <mergeCell ref="AC60:AG60"/>
    <mergeCell ref="AH60:AL60"/>
    <mergeCell ref="AM60:AQ60"/>
    <mergeCell ref="AR61:AV61"/>
    <mergeCell ref="AW61:BA61"/>
    <mergeCell ref="BB61:BF61"/>
    <mergeCell ref="BG61:BK61"/>
    <mergeCell ref="I61:M61"/>
    <mergeCell ref="N61:R61"/>
    <mergeCell ref="S61:W61"/>
    <mergeCell ref="X61:AB61"/>
    <mergeCell ref="AC61:AG61"/>
    <mergeCell ref="AH61:AL61"/>
    <mergeCell ref="AM61:AQ61"/>
    <mergeCell ref="AR62:AV62"/>
    <mergeCell ref="AW62:BA62"/>
    <mergeCell ref="BB62:BF62"/>
    <mergeCell ref="BG62:BK62"/>
    <mergeCell ref="I62:M62"/>
    <mergeCell ref="N62:R62"/>
    <mergeCell ref="S62:W62"/>
    <mergeCell ref="X62:AB62"/>
    <mergeCell ref="AC62:AG62"/>
    <mergeCell ref="AH62:AL62"/>
    <mergeCell ref="AM62:AQ62"/>
    <mergeCell ref="AR63:AV63"/>
    <mergeCell ref="AW63:BA63"/>
    <mergeCell ref="BB63:BF63"/>
    <mergeCell ref="BG63:BK63"/>
    <mergeCell ref="I63:M63"/>
    <mergeCell ref="N63:R63"/>
    <mergeCell ref="S63:W63"/>
    <mergeCell ref="X63:AB63"/>
    <mergeCell ref="AC63:AG63"/>
    <mergeCell ref="AH63:AL63"/>
    <mergeCell ref="AM63:AQ6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3.44" defaultRowHeight="15.0"/>
  <sheetData>
    <row r="1">
      <c r="A1" t="s">
        <v>367</v>
      </c>
      <c r="B1" t="s">
        <v>22</v>
      </c>
      <c r="C1" t="s">
        <v>3</v>
      </c>
      <c r="D1" t="s">
        <v>4</v>
      </c>
      <c r="E1" t="s">
        <v>5</v>
      </c>
      <c r="F1" s="201" t="s">
        <v>368</v>
      </c>
    </row>
    <row r="2">
      <c r="B2">
        <v>0.0</v>
      </c>
      <c r="C2">
        <v>0.0</v>
      </c>
      <c r="D2">
        <v>0.0</v>
      </c>
      <c r="E2">
        <v>0.0</v>
      </c>
    </row>
    <row r="3">
      <c r="A3" t="s">
        <v>116</v>
      </c>
      <c r="B3" s="203">
        <v>156.8</v>
      </c>
      <c r="C3" s="203">
        <v>0.0</v>
      </c>
      <c r="D3" s="203">
        <v>0.0</v>
      </c>
      <c r="E3" s="203">
        <v>0.0</v>
      </c>
      <c r="F3" s="203">
        <f t="shared" ref="F3:F10" si="1">SUM(B3:E3)</f>
        <v>156.8</v>
      </c>
    </row>
    <row r="4">
      <c r="A4" t="s">
        <v>34</v>
      </c>
      <c r="B4" s="203">
        <v>573.15</v>
      </c>
      <c r="C4" s="203">
        <v>6590.66</v>
      </c>
      <c r="D4" s="203">
        <v>0.0</v>
      </c>
      <c r="E4" s="203">
        <v>0.0</v>
      </c>
      <c r="F4" s="203">
        <f t="shared" si="1"/>
        <v>7163.81</v>
      </c>
    </row>
    <row r="5">
      <c r="A5" t="s">
        <v>27</v>
      </c>
      <c r="B5" s="203">
        <v>8952.78</v>
      </c>
      <c r="C5" s="203">
        <v>44382.79000000001</v>
      </c>
      <c r="D5" s="203">
        <v>33155.63</v>
      </c>
      <c r="E5" s="203">
        <v>34983.41</v>
      </c>
      <c r="F5" s="203">
        <f t="shared" si="1"/>
        <v>121474.61</v>
      </c>
    </row>
    <row r="6">
      <c r="A6" t="s">
        <v>21</v>
      </c>
      <c r="B6" s="203">
        <v>22456.46</v>
      </c>
      <c r="C6" s="203">
        <v>18542.08</v>
      </c>
      <c r="D6" s="203">
        <v>28827.329999999994</v>
      </c>
      <c r="E6" s="203">
        <v>70375.9</v>
      </c>
      <c r="F6" s="203">
        <f t="shared" si="1"/>
        <v>140201.77</v>
      </c>
    </row>
    <row r="7">
      <c r="A7" t="s">
        <v>60</v>
      </c>
      <c r="B7" s="203">
        <v>504.13000000000005</v>
      </c>
      <c r="C7" s="203">
        <v>309.64</v>
      </c>
      <c r="D7" s="203">
        <v>1195.49</v>
      </c>
      <c r="E7" s="203">
        <v>908.56</v>
      </c>
      <c r="F7" s="203">
        <f t="shared" si="1"/>
        <v>2917.82</v>
      </c>
    </row>
    <row r="8">
      <c r="A8" t="s">
        <v>124</v>
      </c>
      <c r="B8" s="206">
        <v>0.0</v>
      </c>
      <c r="C8" s="206">
        <v>3216.77</v>
      </c>
      <c r="D8" s="203">
        <v>8631.49</v>
      </c>
      <c r="E8" s="203">
        <v>8388.880000000001</v>
      </c>
      <c r="F8" s="206">
        <f t="shared" si="1"/>
        <v>20237.14</v>
      </c>
    </row>
    <row r="9">
      <c r="A9" t="s">
        <v>287</v>
      </c>
      <c r="B9" s="203">
        <v>0.0</v>
      </c>
      <c r="C9" s="203">
        <v>0.0</v>
      </c>
      <c r="D9" s="203">
        <v>0.0</v>
      </c>
      <c r="E9" s="203">
        <v>0.0</v>
      </c>
      <c r="F9" s="203">
        <f t="shared" si="1"/>
        <v>0</v>
      </c>
    </row>
    <row r="10">
      <c r="A10" t="s">
        <v>86</v>
      </c>
      <c r="B10" s="203">
        <v>908.59</v>
      </c>
      <c r="C10" s="203">
        <v>0.0</v>
      </c>
      <c r="D10" s="203">
        <v>0.0</v>
      </c>
      <c r="E10" s="203">
        <v>0.0</v>
      </c>
      <c r="F10" s="203">
        <f t="shared" si="1"/>
        <v>908.59</v>
      </c>
    </row>
    <row r="11">
      <c r="A11" t="s">
        <v>49</v>
      </c>
      <c r="B11" s="206">
        <v>0.0</v>
      </c>
      <c r="C11" s="203">
        <v>6152.77</v>
      </c>
      <c r="D11" s="203">
        <v>13264.93</v>
      </c>
      <c r="E11" s="203">
        <v>15387.369999999999</v>
      </c>
    </row>
    <row r="12">
      <c r="A12" t="s">
        <v>308</v>
      </c>
      <c r="B12" s="203">
        <v>555.9300000000001</v>
      </c>
      <c r="C12">
        <v>474.57000000000005</v>
      </c>
      <c r="D12" s="203">
        <v>999.8100000000001</v>
      </c>
      <c r="E12" s="203">
        <v>271.88</v>
      </c>
    </row>
    <row r="13">
      <c r="A13" t="s">
        <v>319</v>
      </c>
      <c r="B13" s="203">
        <v>0.0</v>
      </c>
      <c r="C13" s="203">
        <v>14.33</v>
      </c>
      <c r="D13" s="203">
        <v>0.0</v>
      </c>
      <c r="E13" s="203">
        <v>0.0</v>
      </c>
    </row>
    <row r="14">
      <c r="A14" t="s">
        <v>111</v>
      </c>
      <c r="B14">
        <v>0.0</v>
      </c>
      <c r="C14">
        <v>0.0</v>
      </c>
      <c r="D14">
        <v>0.0</v>
      </c>
      <c r="E14">
        <v>0.0</v>
      </c>
    </row>
    <row r="15">
      <c r="A15" t="s">
        <v>16</v>
      </c>
      <c r="B15">
        <v>0.0</v>
      </c>
      <c r="C15">
        <v>0.0</v>
      </c>
      <c r="D15">
        <v>0.0</v>
      </c>
      <c r="E15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3.44" defaultRowHeight="15.0"/>
  <sheetData>
    <row r="1">
      <c r="F1" s="201" t="s">
        <v>368</v>
      </c>
    </row>
    <row r="2">
      <c r="F2" s="203">
        <f t="shared" ref="F2:F4" si="1">SUM(B2:E2)</f>
        <v>5822.28</v>
      </c>
      <c r="G2" s="201" t="s">
        <v>404</v>
      </c>
    </row>
    <row r="3">
      <c r="F3" s="203">
        <f t="shared" si="1"/>
        <v>30296.04</v>
      </c>
      <c r="G3" s="201" t="s">
        <v>405</v>
      </c>
    </row>
    <row r="4">
      <c r="F4" s="203">
        <f t="shared" si="1"/>
        <v>679.92</v>
      </c>
    </row>
    <row r="5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3.44" defaultRowHeight="15.0"/>
  <sheetData>
    <row r="1">
      <c r="A1" t="s">
        <v>367</v>
      </c>
      <c r="B1" t="s">
        <v>400</v>
      </c>
      <c r="C1" t="s">
        <v>401</v>
      </c>
      <c r="D1" t="s">
        <v>402</v>
      </c>
      <c r="E1" t="s">
        <v>403</v>
      </c>
      <c r="F1" s="201" t="s">
        <v>368</v>
      </c>
    </row>
    <row r="2">
      <c r="A2" t="s">
        <v>34</v>
      </c>
      <c r="B2" s="203">
        <v>0.0</v>
      </c>
      <c r="C2" s="203">
        <v>6590.66</v>
      </c>
      <c r="D2" s="203">
        <v>0.0</v>
      </c>
      <c r="E2" s="203">
        <v>0.0</v>
      </c>
      <c r="F2" s="203">
        <f t="shared" ref="F2:F8" si="1">SUM(B2:E2)</f>
        <v>6590.66</v>
      </c>
    </row>
    <row r="3">
      <c r="A3" t="s">
        <v>27</v>
      </c>
      <c r="B3" s="203">
        <v>7193.69</v>
      </c>
      <c r="C3" s="203">
        <v>9789.91</v>
      </c>
      <c r="D3" s="203">
        <v>8189.210000000001</v>
      </c>
      <c r="E3" s="203">
        <v>8549.800000000001</v>
      </c>
      <c r="F3" s="203">
        <f t="shared" si="1"/>
        <v>33722.61</v>
      </c>
    </row>
    <row r="4">
      <c r="A4" t="s">
        <v>21</v>
      </c>
      <c r="B4" s="203">
        <v>10977.29</v>
      </c>
      <c r="C4" s="203">
        <v>11960.11</v>
      </c>
      <c r="D4" s="203">
        <v>10789.189999999999</v>
      </c>
      <c r="E4" s="203">
        <v>15782.33</v>
      </c>
      <c r="F4" s="203">
        <f t="shared" si="1"/>
        <v>49508.92</v>
      </c>
    </row>
    <row r="5">
      <c r="A5" t="s">
        <v>60</v>
      </c>
      <c r="B5" s="203">
        <v>372.33000000000004</v>
      </c>
      <c r="C5" s="203">
        <v>52.38</v>
      </c>
      <c r="D5" s="203">
        <v>0.0</v>
      </c>
      <c r="E5" s="203">
        <v>536.48</v>
      </c>
      <c r="F5" s="203">
        <f t="shared" si="1"/>
        <v>961.19</v>
      </c>
    </row>
    <row r="6">
      <c r="A6" t="s">
        <v>124</v>
      </c>
      <c r="B6" s="203">
        <v>283.56</v>
      </c>
      <c r="C6" s="203">
        <v>3216.77</v>
      </c>
      <c r="D6" s="203">
        <v>8631.49</v>
      </c>
      <c r="E6" s="203">
        <v>1936.08</v>
      </c>
      <c r="F6" s="203">
        <f t="shared" si="1"/>
        <v>14067.9</v>
      </c>
    </row>
    <row r="7">
      <c r="F7">
        <f t="shared" si="1"/>
        <v>0</v>
      </c>
    </row>
    <row r="8">
      <c r="F8">
        <f t="shared" si="1"/>
        <v>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3.44" defaultRowHeight="15.0"/>
  <sheetData>
    <row r="1">
      <c r="A1" t="s">
        <v>367</v>
      </c>
      <c r="B1" t="s">
        <v>400</v>
      </c>
      <c r="C1" t="s">
        <v>401</v>
      </c>
      <c r="D1" t="s">
        <v>402</v>
      </c>
      <c r="E1" t="s">
        <v>403</v>
      </c>
      <c r="F1" s="201" t="s">
        <v>368</v>
      </c>
    </row>
    <row r="2">
      <c r="B2">
        <v>0.0</v>
      </c>
      <c r="C2" s="203">
        <v>0.0</v>
      </c>
      <c r="D2">
        <v>0.0</v>
      </c>
      <c r="E2">
        <v>0.0</v>
      </c>
      <c r="F2">
        <f t="shared" ref="F2:F5" si="1">SUM(B2:E2)</f>
        <v>0</v>
      </c>
    </row>
    <row r="3">
      <c r="A3" t="s">
        <v>27</v>
      </c>
      <c r="B3" s="206">
        <v>2385.02</v>
      </c>
      <c r="C3" s="203">
        <v>9520.84</v>
      </c>
      <c r="D3" s="203">
        <v>7278.44</v>
      </c>
      <c r="E3" s="203">
        <v>11590.21</v>
      </c>
      <c r="F3" s="206">
        <f t="shared" si="1"/>
        <v>30774.51</v>
      </c>
    </row>
    <row r="4">
      <c r="A4" t="s">
        <v>21</v>
      </c>
      <c r="B4" s="206">
        <v>5994.99</v>
      </c>
      <c r="C4" s="203">
        <v>0.0</v>
      </c>
      <c r="D4" s="203">
        <v>3587.22</v>
      </c>
      <c r="E4" s="203">
        <v>13035.01</v>
      </c>
      <c r="F4" s="206">
        <f t="shared" si="1"/>
        <v>22617.22</v>
      </c>
    </row>
    <row r="5">
      <c r="C5" s="203"/>
      <c r="F5">
        <f t="shared" si="1"/>
        <v>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3.44" defaultRowHeight="15.0"/>
  <sheetData>
    <row r="1">
      <c r="A1" t="s">
        <v>367</v>
      </c>
      <c r="B1" t="s">
        <v>400</v>
      </c>
      <c r="C1" t="s">
        <v>401</v>
      </c>
      <c r="D1" t="s">
        <v>402</v>
      </c>
      <c r="E1" t="s">
        <v>403</v>
      </c>
      <c r="F1" s="201" t="s">
        <v>368</v>
      </c>
    </row>
    <row r="2">
      <c r="A2" t="s">
        <v>27</v>
      </c>
      <c r="B2" s="203">
        <v>0.0</v>
      </c>
      <c r="C2" s="203">
        <v>8089.850000000001</v>
      </c>
      <c r="D2" s="203">
        <v>1493.84</v>
      </c>
      <c r="E2" s="203">
        <v>577.53</v>
      </c>
      <c r="F2" s="203">
        <f t="shared" ref="F2:F8" si="1">SUM(B2:E2)</f>
        <v>10161.22</v>
      </c>
    </row>
    <row r="3">
      <c r="A3" t="s">
        <v>287</v>
      </c>
      <c r="B3" s="203">
        <v>0.0</v>
      </c>
      <c r="C3" s="203">
        <v>0.0</v>
      </c>
      <c r="D3" s="203">
        <v>0.0</v>
      </c>
      <c r="E3" s="203">
        <v>0.0</v>
      </c>
      <c r="F3" s="203">
        <f t="shared" si="1"/>
        <v>0</v>
      </c>
    </row>
    <row r="4">
      <c r="A4" t="s">
        <v>406</v>
      </c>
      <c r="B4" s="203">
        <v>0.0</v>
      </c>
      <c r="C4" s="203">
        <v>8089.850000000001</v>
      </c>
      <c r="D4" s="203">
        <v>1493.84</v>
      </c>
      <c r="E4" s="203">
        <v>577.53</v>
      </c>
      <c r="F4" s="203">
        <f t="shared" si="1"/>
        <v>10161.22</v>
      </c>
    </row>
    <row r="5">
      <c r="F5">
        <f t="shared" si="1"/>
        <v>0</v>
      </c>
    </row>
    <row r="6">
      <c r="F6">
        <f t="shared" si="1"/>
        <v>0</v>
      </c>
    </row>
    <row r="7">
      <c r="F7">
        <f t="shared" si="1"/>
        <v>0</v>
      </c>
    </row>
    <row r="8">
      <c r="F8">
        <f t="shared" si="1"/>
        <v>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3.44" defaultRowHeight="15.0"/>
  <sheetData>
    <row r="1">
      <c r="A1" t="s">
        <v>16</v>
      </c>
      <c r="B1" t="s">
        <v>400</v>
      </c>
      <c r="C1" t="s">
        <v>401</v>
      </c>
      <c r="D1" t="s">
        <v>402</v>
      </c>
      <c r="E1" t="s">
        <v>403</v>
      </c>
      <c r="F1" s="201" t="s">
        <v>368</v>
      </c>
    </row>
    <row r="2">
      <c r="A2" t="s">
        <v>27</v>
      </c>
      <c r="B2" s="206">
        <v>0.0</v>
      </c>
      <c r="C2" s="203">
        <v>15669.359999999997</v>
      </c>
      <c r="D2" s="203">
        <v>11982.27</v>
      </c>
      <c r="E2" s="203">
        <v>8859.69</v>
      </c>
      <c r="F2" s="206">
        <f t="shared" ref="F2:F5" si="1">SUM(B2:E2)</f>
        <v>36511.32</v>
      </c>
    </row>
    <row r="3">
      <c r="A3" t="s">
        <v>124</v>
      </c>
      <c r="B3" s="206">
        <v>0.0</v>
      </c>
      <c r="C3" s="203">
        <v>0.0</v>
      </c>
      <c r="D3" s="203">
        <v>0.0</v>
      </c>
      <c r="E3" s="203">
        <v>2391.7</v>
      </c>
      <c r="F3" s="206">
        <f t="shared" si="1"/>
        <v>2391.7</v>
      </c>
    </row>
    <row r="4">
      <c r="A4" t="s">
        <v>406</v>
      </c>
      <c r="B4" s="206">
        <v>0.0</v>
      </c>
      <c r="C4" s="203">
        <v>15669.359999999997</v>
      </c>
      <c r="D4" s="203">
        <v>11982.27</v>
      </c>
      <c r="E4" s="203">
        <v>11251.39</v>
      </c>
      <c r="F4" s="206">
        <f t="shared" si="1"/>
        <v>38903.02</v>
      </c>
    </row>
    <row r="5">
      <c r="F5">
        <f t="shared" si="1"/>
        <v>0</v>
      </c>
    </row>
  </sheetData>
  <drawing r:id="rId1"/>
</worksheet>
</file>